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C:\Users\admin\Desktop\excel dashboard\"/>
    </mc:Choice>
  </mc:AlternateContent>
  <xr:revisionPtr revIDLastSave="0" documentId="13_ncr:1_{EBD17DF0-0207-4FD2-81B5-2DEF55F6FB22}" xr6:coauthVersionLast="47" xr6:coauthVersionMax="47" xr10:uidLastSave="{00000000-0000-0000-0000-000000000000}"/>
  <bookViews>
    <workbookView xWindow="-120" yWindow="-120" windowWidth="20730" windowHeight="11760" activeTab="2" xr2:uid="{408BA6AB-5196-496B-9C80-B057CC378CDA}"/>
  </bookViews>
  <sheets>
    <sheet name="data" sheetId="1" r:id="rId1"/>
    <sheet name="pivottables" sheetId="2" r:id="rId2"/>
    <sheet name="Dashboard" sheetId="3"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2" l="1"/>
  <c r="J14" i="2"/>
  <c r="J20" i="2"/>
  <c r="J13" i="2"/>
  <c r="J12" i="2"/>
  <c r="J15" i="2"/>
  <c r="J21" i="2"/>
  <c r="B10" i="2"/>
  <c r="W16" i="2"/>
  <c r="O12" i="2"/>
  <c r="F14" i="2"/>
  <c r="T12" i="2"/>
  <c r="W12" i="2"/>
  <c r="G13" i="2"/>
  <c r="F13" i="2"/>
  <c r="B9" i="2"/>
  <c r="B11" i="2"/>
  <c r="O10" i="2"/>
  <c r="Z16" i="2"/>
  <c r="T13" i="2"/>
  <c r="G12" i="2"/>
  <c r="G15" i="2"/>
  <c r="F11" i="2"/>
  <c r="Z15" i="2"/>
  <c r="W13" i="2"/>
  <c r="Z14" i="2"/>
  <c r="T14" i="2"/>
  <c r="Z13" i="2"/>
  <c r="F15" i="2"/>
  <c r="W14" i="2"/>
  <c r="W15" i="2"/>
  <c r="O11" i="2"/>
  <c r="G11" i="2"/>
  <c r="G14" i="2"/>
  <c r="F12" i="2"/>
  <c r="T16" i="2"/>
  <c r="Z12" i="2"/>
  <c r="T15" i="2"/>
  <c r="T17" i="2" l="1"/>
  <c r="G16" i="2"/>
  <c r="W17" i="2"/>
  <c r="Z17" i="2"/>
  <c r="J17" i="2"/>
  <c r="J22" i="2"/>
  <c r="K20" i="2"/>
  <c r="L20" i="2" s="1"/>
  <c r="K21" i="2"/>
  <c r="L21" i="2" s="1"/>
  <c r="P10" i="2"/>
  <c r="Q10" i="2" s="1"/>
  <c r="P12" i="2"/>
  <c r="Q12" i="2" s="1"/>
  <c r="P11" i="2"/>
  <c r="Q11" i="2" s="1"/>
  <c r="O13" i="2"/>
  <c r="F16" i="2"/>
  <c r="B12" i="2"/>
</calcChain>
</file>

<file path=xl/sharedStrings.xml><?xml version="1.0" encoding="utf-8"?>
<sst xmlns="http://schemas.openxmlformats.org/spreadsheetml/2006/main" count="876" uniqueCount="230">
  <si>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</si>
  <si>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</si>
  <si>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</si>
  <si>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</si>
  <si>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</si>
  <si>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</si>
  <si>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</si>
  <si>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</si>
  <si>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</si>
  <si>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</si>
  <si>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</si>
  <si>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</si>
  <si>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</si>
  <si>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</si>
  <si>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</si>
  <si>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</si>
  <si>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</si>
  <si>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</si>
  <si>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</si>
  <si>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</si>
  <si>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</si>
  <si>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</si>
  <si>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</si>
  <si>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</si>
  <si>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</si>
  <si>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</si>
  <si>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</si>
  <si>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</si>
  <si>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</si>
  <si>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</si>
  <si>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</si>
  <si>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</si>
  <si>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</si>
  <si>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</si>
  <si>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</si>
  <si>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</si>
  <si>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</si>
  <si>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</si>
  <si>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</si>
  <si>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</si>
  <si>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</si>
  <si>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</si>
  <si>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</si>
  <si>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</si>
  <si>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</si>
  <si>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</si>
  <si>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</si>
  <si>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</si>
  <si>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</si>
  <si>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</si>
  <si>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</si>
  <si>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</si>
  <si>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</si>
  <si>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</si>
  <si>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</si>
  <si>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</si>
  <si>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</si>
  <si>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</si>
  <si>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</si>
  <si>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</si>
  <si>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</si>
  <si>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</si>
  <si>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</si>
  <si>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</si>
  <si>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</si>
  <si>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</si>
  <si>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</si>
  <si>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</si>
  <si>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</si>
  <si>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</si>
  <si>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</si>
  <si>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</si>
  <si>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</si>
  <si>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</si>
  <si>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</si>
  <si>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</si>
  <si>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</si>
  <si>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</si>
  <si>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</si>
  <si>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</si>
  <si>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</si>
  <si>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</si>
  <si>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</si>
  <si>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</si>
  <si>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</si>
  <si>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</si>
  <si>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</si>
  <si>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</si>
  <si>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</si>
  <si>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</si>
  <si>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</si>
  <si>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</si>
  <si>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</si>
  <si>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</si>
  <si>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</si>
  <si>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</si>
  <si>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</si>
  <si>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</si>
  <si>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</si>
  <si>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</si>
  <si>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</si>
  <si>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</si>
  <si>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</si>
  <si>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</si>
  <si>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</si>
  <si>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</si>
  <si>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</si>
  <si>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</si>
  <si>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</si>
  <si>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</si>
  <si>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</si>
  <si>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</si>
  <si>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</si>
  <si>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</si>
  <si>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</si>
  <si>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</si>
  <si>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</si>
  <si>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</si>
  <si>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</si>
  <si>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</si>
  <si>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</si>
  <si>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</si>
  <si>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</si>
  <si>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</si>
  <si>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</si>
  <si>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</si>
  <si>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</si>
  <si>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</si>
  <si>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</si>
  <si>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</si>
  <si>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</si>
  <si>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</si>
  <si>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</si>
  <si>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</si>
  <si>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</si>
  <si>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</si>
  <si>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</si>
  <si>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</si>
  <si>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</si>
  <si>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</si>
  <si>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</si>
  <si>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</si>
  <si>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</si>
  <si>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</si>
  <si>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</si>
  <si>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</si>
  <si>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</si>
  <si>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</si>
  <si>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</si>
  <si>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</si>
  <si>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</si>
  <si>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</si>
  <si>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</si>
  <si>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</si>
  <si>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</si>
  <si>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</si>
  <si>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</si>
  <si>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</si>
  <si>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</si>
  <si>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</si>
  <si>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</si>
  <si>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</si>
  <si>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</si>
  <si>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</si>
  <si>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</si>
  <si>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</si>
  <si>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</si>
  <si>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</si>
  <si>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</si>
  <si>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</si>
  <si>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</si>
  <si>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</si>
  <si>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</si>
  <si>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</si>
  <si>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</si>
  <si>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</si>
  <si>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</si>
  <si>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</si>
  <si>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</si>
  <si>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</si>
  <si>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</si>
  <si>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</si>
  <si>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</si>
  <si>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</si>
  <si>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</si>
  <si>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</si>
  <si>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</si>
  <si>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</si>
  <si>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</si>
  <si>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</si>
  <si>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</si>
  <si>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</si>
  <si>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</si>
  <si>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</si>
  <si>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</si>
  <si>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</si>
  <si>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</si>
  <si>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</si>
  <si>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</si>
  <si>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</si>
  <si>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</si>
  <si>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</si>
  <si>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</si>
  <si>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</si>
  <si>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</si>
  <si>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</si>
  <si>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</si>
  <si>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</si>
  <si>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</si>
  <si>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</si>
  <si>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</si>
  <si>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</si>
  <si>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</si>
  <si>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</si>
  <si>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</si>
  <si>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</si>
  <si>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</si>
  <si>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employees to employement status</t>
  </si>
  <si>
    <t>total</t>
  </si>
  <si>
    <t>Sum of Salary</t>
  </si>
  <si>
    <t>Total</t>
  </si>
  <si>
    <t xml:space="preserve">salaries to department </t>
  </si>
  <si>
    <t>Column Labels</t>
  </si>
  <si>
    <t>age range to gender</t>
  </si>
  <si>
    <t xml:space="preserve">Male </t>
  </si>
  <si>
    <t>work location</t>
  </si>
  <si>
    <t>.</t>
  </si>
  <si>
    <t>skills</t>
  </si>
  <si>
    <t>Sum of Leave Taken</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</si>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</sst>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_ * #,##0_ ;_ * \-#,##0_ ;_ * &quot;-&quot;??_ ;_ @_ "/>
    <numFmt numFmtId="165" formatCode="0.0"/>
    <numFmt numFmtId="166" formatCode="&quot;₹&quot;\ #,##0.00"/>
    <numFmt numFmtId="167" formatCode="&quot;₹&quot;\ #,##0"/>
  </numFmts>
  <fonts count="8" x14ac:knownFonts="1">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0"/>
      <name val="Aptos Narrow"/>
      <family val="2"/>
      <scheme val="minor"/>
    </font>
    <font>
      <sz val="11"/>
      <color theme="1"/>
      <name val="Aptos Narrow"/>
      <family val="2"/>
      <scheme val="minor"/>
    </font>
    <font>
      <b/>
      <sz val="11"/>
      <color theme="1"/>
      <name val="Aptos Narrow"/>
      <family val="2"/>
      <scheme val="minor"/>
    </font>
    <font>
      <sz val="16"/>
      <color theme="0"/>
      <name val="Aptos Narrow"/>
      <family val="2"/>
      <scheme val="minor"/>
    </font>
  </fonts>
  <fills count="7">
    <fill>
      <patternFill patternType="none"/>
    </fill>
    <fill>
      <patternFill patternType="gray125"/>
    </fill>
    <fill>
      <patternFill patternType="solid">
        <fgColor rgb="FF282828"/>
        <bgColor indexed="64"/>
      </patternFill>
    </fill>
    <fill>
      <patternFill patternType="solid">
        <fgColor theme="1"/>
        <bgColor indexed="64"/>
      </patternFill>
    </fill>
    <fill>
      <patternFill patternType="solid">
        <fgColor rgb="FF1F1F1F"/>
        <bgColor indexed="64"/>
      </patternFill>
    </fill>
    <fill>
      <patternFill patternType="solid">
        <fgColor theme="1" tint="4.9989318521683403E-2"/>
        <bgColor indexed="64"/>
      </patternFill>
    </fill>
    <fill>
      <patternFill patternType="solid">
        <fgColor theme="0"/>
        <bgColor indexed="64"/>
      </patternFill>
    </fill>
  </fills>
  <borders count="2">
    <border>
      <left/>
      <right/>
      <top/>
      <bottom/>
      <diagonal/>
    </border>
    <border>
      <left/>
      <right/>
      <top style="thin">
        <color theme="1" tint="0.499984740745262"/>
      </top>
      <bottom style="thin">
        <color theme="1" tint="0.499984740745262"/>
      </bottom>
      <diagonal/>
    </border>
  </borders>
  <cellStyleXfs count="2">
    <xf numFmtId="0" fontId="0" fillId="0" borderId="0"/>
    <xf numFmtId="43" fontId="5" fillId="0" borderId="0" applyFont="0" applyFill="0" applyBorder="0" applyAlignment="0" applyProtection="0"/>
  </cellStyleXfs>
  <cellXfs count="23">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2" borderId="0" xfId="0" applyFill="1"/>
    <xf numFmtId="0" fontId="2" fillId="2" borderId="0" xfId="0" applyFont="1" applyFill="1"/>
    <xf numFmtId="0" fontId="0" fillId="0" borderId="0" xfId="0" pivotButton="1"/>
    <xf numFmtId="0" fontId="0" fillId="0" borderId="0" xfId="0" applyAlignment="1">
      <alignment horizontal="left"/>
    </xf>
    <xf numFmtId="0" fontId="4" fillId="3" borderId="0" xfId="0" applyFont="1" applyFill="1"/>
    <xf numFmtId="164" fontId="0" fillId="0" borderId="0" xfId="0" applyNumberFormat="1"/>
    <xf numFmtId="164" fontId="0" fillId="0" borderId="0" xfId="1" applyNumberFormat="1" applyFont="1"/>
    <xf numFmtId="9" fontId="6" fillId="0" borderId="0" xfId="0" applyNumberFormat="1" applyFont="1"/>
    <xf numFmtId="0" fontId="7" fillId="4" borderId="0" xfId="0" applyFont="1" applyFill="1"/>
    <xf numFmtId="0" fontId="4" fillId="5" borderId="0" xfId="0" applyFont="1" applyFill="1"/>
    <xf numFmtId="9" fontId="0" fillId="0" borderId="0" xfId="0" applyNumberFormat="1"/>
    <xf numFmtId="165" fontId="6" fillId="0" borderId="0" xfId="0" applyNumberFormat="1" applyFont="1"/>
    <xf numFmtId="1" fontId="6" fillId="0" borderId="0" xfId="0" applyNumberFormat="1" applyFont="1"/>
    <xf numFmtId="0" fontId="4" fillId="6" borderId="0" xfId="0" applyFont="1" applyFill="1"/>
    <xf numFmtId="165" fontId="0" fillId="0" borderId="0" xfId="0" applyNumberFormat="1"/>
    <xf numFmtId="166" fontId="0" fillId="0" borderId="0" xfId="0" applyNumberFormat="1"/>
    <xf numFmtId="167" fontId="0" fillId="0" borderId="0" xfId="0" applyNumberFormat="1"/>
    <xf numFmtId="167" fontId="0" fillId="0" borderId="0" xfId="1" applyNumberFormat="1" applyFont="1"/>
    <xf numFmtId="0" fontId="0" fillId="0" borderId="0" xfId="0" applyNumberFormat="1"/>
  </cellXfs>
  <cellStyles count="2">
    <cellStyle name="Comma" xfId="1" builtinId="3"/>
    <cellStyle name="Normal" xfId="0" builtinId="0"/>
  </cellStyles>
  <dxfs count="727">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_ * #,##0_ ;_ * \-#,##0_ ;_ * &quot;-&quot;??_ ;_ @_ "/>
    </dxf>
    <dxf>
      <numFmt numFmtId="167" formatCode="&quot;₹&quot;\ #,##0"/>
    </dxf>
    <dxf>
      <numFmt numFmtId="167" formatCode="&quot;₹&quot;\ #,##0"/>
    </dxf>
    <dxf>
      <numFmt numFmtId="167" formatCode="&quot;₹&quot;\ #,##0"/>
    </dxf>
    <dxf>
      <numFmt numFmtId="167" formatCode="&quot;₹&quot;\ #,##0"/>
    </dxf>
    <dxf>
      <numFmt numFmtId="166" formatCode="&quot;₹&quot;\ #,##0.00"/>
    </dxf>
    <dxf>
      <numFmt numFmtId="166" formatCode="&quot;₹&quot;\ #,##0.00"/>
    </dxf>
    <dxf>
      <numFmt numFmtId="166" formatCode="&quot;₹&quot;\ #,##0.00"/>
    </dxf>
    <dxf>
      <numFmt numFmtId="166" formatCode="&quot;₹&quot;\ #,##0.00"/>
    </dxf>
    <dxf>
      <numFmt numFmtId="167" formatCode="&quot;₹&quot;\ #,##0"/>
    </dxf>
    <dxf>
      <numFmt numFmtId="167" formatCode="&quot;₹&quot;\ #,##0"/>
    </dxf>
    <dxf>
      <numFmt numFmtId="167" formatCode="&quot;₹&quot;\ #,##0"/>
    </dxf>
    <dxf>
      <numFmt numFmtId="167" formatCode="&quot;₹&quot;\ #,##0"/>
    </dxf>
    <dxf>
      <numFmt numFmtId="164" formatCode="_ * #,##0_ ;_ * \-#,##0_ ;_ * &quot;-&quot;??_ ;_ @_ "/>
    </dxf>
    <dxf>
      <numFmt numFmtId="165" formatCode="0.0"/>
    </dxf>
    <dxf>
      <numFmt numFmtId="165" formatCode="0.0"/>
    </dxf>
    <dxf>
      <numFmt numFmtId="165" formatCode="0.0"/>
    </dxf>
    <dxf>
      <numFmt numFmtId="165" formatCode="0.0"/>
    </dxf>
    <dxf>
      <numFmt numFmtId="165" formatCode="0.0"/>
    </dxf>
    <dxf>
      <numFmt numFmtId="165" formatCode="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color rgb="FF282828"/>
      </font>
      <fill>
        <gradientFill degree="90">
          <stop position="0">
            <color rgb="FF282828"/>
          </stop>
          <stop position="1">
            <color rgb="FF1F1F1F"/>
          </stop>
        </gradientFill>
      </fill>
    </dxf>
    <dxf>
      <font>
        <name val="Kulim Park SemiBold"/>
        <scheme val="none"/>
      </font>
      <fill>
        <patternFill patternType="solid">
          <fgColor auto="1"/>
          <bgColor rgb="FF1F1F1F"/>
        </patternFill>
      </fill>
    </dxf>
  </dxfs>
  <tableStyles count="1" defaultTableStyle="TableStyleMedium2" defaultPivotStyle="PivotStyleLight16">
    <tableStyle name="Slicer Style 1" pivot="0" table="0" count="7" xr9:uid="{F401B3AD-418B-4DB5-ADA6-D419424C967C}">
      <tableStyleElement type="wholeTable" dxfId="726"/>
      <tableStyleElement type="headerRow" dxfId="725"/>
    </tableStyle>
  </tableStyles>
  <colors>
    <mruColors>
      <color rgb="FF1F1F1F"/>
      <color rgb="FF282828"/>
      <color rgb="FFE5B244"/>
      <color rgb="FF9EC8A6"/>
    </mruColors>
  </colors>
  <extLst>
    <ext xmlns:x14="http://schemas.microsoft.com/office/spreadsheetml/2009/9/main" uri="{46F421CA-312F-682f-3DD2-61675219B42D}">
      <x14:dxfs count="5">
        <dxf>
          <font>
            <color rgb="FFE5B244"/>
            <name val="Kulim Park SemiBold"/>
            <scheme val="none"/>
          </font>
          <fill>
            <patternFill>
              <bgColor rgb="FF282828"/>
            </patternFill>
          </fill>
        </dxf>
        <dxf>
          <font>
            <color rgb="FFE5B244"/>
          </font>
        </dxf>
        <dxf>
          <font>
            <color rgb="FFE5B244"/>
          </font>
          <fill>
            <gradientFill degree="90">
              <stop position="0">
                <color rgb="FF282828"/>
              </stop>
              <stop position="1">
                <color rgb="FF282828"/>
              </stop>
            </gradientFill>
          </fill>
        </dxf>
        <dxf>
          <fill>
            <gradientFill degree="90">
              <stop position="0">
                <color rgb="FFE5B244"/>
              </stop>
              <stop position="1">
                <color rgb="FFE5B244"/>
              </stop>
            </gradientFill>
          </fill>
        </dxf>
        <dxf>
          <font>
            <color rgb="FFFFC00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611647800829"/>
          <c:y val="7.9919948908842159E-2"/>
          <c:w val="0.6892503835135132"/>
          <c:h val="0.87837398996868365"/>
        </c:manualLayout>
      </c:layout>
      <c:pieChart>
        <c:varyColors val="1"/>
        <c:ser>
          <c:idx val="0"/>
          <c:order val="0"/>
          <c:spPr>
            <a:ln>
              <a:noFill/>
            </a:ln>
          </c:spPr>
          <c:dPt>
            <c:idx val="0"/>
            <c:bubble3D val="0"/>
            <c:explosion val="6"/>
            <c:spPr>
              <a:solidFill>
                <a:srgbClr val="E5B244"/>
              </a:solidFill>
              <a:ln w="19050">
                <a:noFill/>
              </a:ln>
              <a:effectLst/>
            </c:spPr>
            <c:extLst>
              <c:ext xmlns:c16="http://schemas.microsoft.com/office/drawing/2014/chart" uri="{C3380CC4-5D6E-409C-BE32-E72D297353CC}">
                <c16:uniqueId val="{00000001-B54F-4557-BCCE-7F79122F287E}"/>
              </c:ext>
            </c:extLst>
          </c:dPt>
          <c:dPt>
            <c:idx val="1"/>
            <c:bubble3D val="0"/>
            <c:explosion val="9"/>
            <c:spPr>
              <a:solidFill>
                <a:schemeClr val="tx1">
                  <a:lumMod val="65000"/>
                  <a:lumOff val="35000"/>
                </a:schemeClr>
              </a:solidFill>
              <a:ln w="19050">
                <a:noFill/>
              </a:ln>
              <a:effectLst/>
            </c:spPr>
            <c:extLst>
              <c:ext xmlns:c16="http://schemas.microsoft.com/office/drawing/2014/chart" uri="{C3380CC4-5D6E-409C-BE32-E72D297353CC}">
                <c16:uniqueId val="{00000003-B54F-4557-BCCE-7F79122F287E}"/>
              </c:ext>
            </c:extLst>
          </c:dPt>
          <c:dPt>
            <c:idx val="2"/>
            <c:bubble3D val="0"/>
            <c:explosion val="5"/>
            <c:spPr>
              <a:solidFill>
                <a:schemeClr val="bg1">
                  <a:lumMod val="95000"/>
                </a:schemeClr>
              </a:solidFill>
              <a:ln w="19050">
                <a:noFill/>
              </a:ln>
              <a:effectLst/>
            </c:spPr>
            <c:extLst>
              <c:ext xmlns:c16="http://schemas.microsoft.com/office/drawing/2014/chart" uri="{C3380CC4-5D6E-409C-BE32-E72D297353CC}">
                <c16:uniqueId val="{00000005-B54F-4557-BCCE-7F79122F287E}"/>
              </c:ext>
            </c:extLst>
          </c:dPt>
          <c:cat>
            <c:strRef>
              <c:f>pivottables!$A$9:$A$11</c:f>
              <c:strCache>
                <c:ptCount val="3"/>
                <c:pt idx="0">
                  <c:v>Contract</c:v>
                </c:pt>
                <c:pt idx="1">
                  <c:v>Full-Time</c:v>
                </c:pt>
                <c:pt idx="2">
                  <c:v>Part-Time</c:v>
                </c:pt>
              </c:strCache>
            </c:strRef>
          </c:cat>
          <c:val>
            <c:numRef>
              <c:f>pivottables!$B$9:$B$11</c:f>
              <c:numCache>
                <c:formatCode>General</c:formatCode>
                <c:ptCount val="3"/>
                <c:pt idx="0">
                  <c:v>17</c:v>
                </c:pt>
                <c:pt idx="1">
                  <c:v>20</c:v>
                </c:pt>
                <c:pt idx="2">
                  <c:v>13</c:v>
                </c:pt>
              </c:numCache>
            </c:numRef>
          </c:val>
          <c:extLst>
            <c:ext xmlns:c16="http://schemas.microsoft.com/office/drawing/2014/chart" uri="{C3380CC4-5D6E-409C-BE32-E72D297353CC}">
              <c16:uniqueId val="{00000006-B54F-4557-BCCE-7F79122F287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[Workforce_Insights.xlsx]pivottables!age range</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82868162087556"/>
          <c:y val="3.1193605077462001E-2"/>
          <c:w val="0.78070625546806649"/>
          <c:h val="0.84204505686789155"/>
        </c:manualLayout>
      </c:layout>
      <c:barChart>
        <c:barDir val="col"/>
        <c:grouping val="clustered"/>
        <c:varyColors val="0"/>
        <c:ser>
          <c:idx val="0"/>
          <c:order val="0"/>
          <c:tx>
            <c:strRef>
              <c:f>pivottables!$J$3:$J$4</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pivottables!$I$5:$I$10</c:f>
              <c:strCache>
                <c:ptCount val="5"/>
                <c:pt idx="0">
                  <c:v>18-25</c:v>
                </c:pt>
                <c:pt idx="1">
                  <c:v>26-35</c:v>
                </c:pt>
                <c:pt idx="2">
                  <c:v>36-45</c:v>
                </c:pt>
                <c:pt idx="3">
                  <c:v>46-55</c:v>
                </c:pt>
                <c:pt idx="4">
                  <c:v>56 &lt;</c:v>
                </c:pt>
              </c:strCache>
            </c:strRef>
          </c:cat>
          <c:val>
            <c:numRef>
              <c:f>pivottables!$J$5:$J$10</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7DC1-4746-9DE7-84C0BDD993D1}"/>
            </c:ext>
          </c:extLst>
        </c:ser>
        <c:ser>
          <c:idx val="1"/>
          <c:order val="1"/>
          <c:tx>
            <c:strRef>
              <c:f>pivottables!$K$3:$K$4</c:f>
              <c:strCache>
                <c:ptCount val="1"/>
                <c:pt idx="0">
                  <c:v>Male</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pivottables!$I$5:$I$10</c:f>
              <c:strCache>
                <c:ptCount val="5"/>
                <c:pt idx="0">
                  <c:v>18-25</c:v>
                </c:pt>
                <c:pt idx="1">
                  <c:v>26-35</c:v>
                </c:pt>
                <c:pt idx="2">
                  <c:v>36-45</c:v>
                </c:pt>
                <c:pt idx="3">
                  <c:v>46-55</c:v>
                </c:pt>
                <c:pt idx="4">
                  <c:v>56 &lt;</c:v>
                </c:pt>
              </c:strCache>
            </c:strRef>
          </c:cat>
          <c:val>
            <c:numRef>
              <c:f>pivottables!$K$5:$K$10</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7DC1-4746-9DE7-84C0BDD993D1}"/>
            </c:ext>
          </c:extLst>
        </c:ser>
        <c:dLbls>
          <c:dLblPos val="outEnd"/>
          <c:showLegendKey val="0"/>
          <c:showVal val="1"/>
          <c:showCatName val="0"/>
          <c:showSerName val="0"/>
          <c:showPercent val="0"/>
          <c:showBubbleSize val="0"/>
        </c:dLbls>
        <c:gapWidth val="219"/>
        <c:overlap val="-27"/>
        <c:axId val="1142483055"/>
        <c:axId val="1142485455"/>
      </c:barChart>
      <c:catAx>
        <c:axId val="114248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2485455"/>
        <c:crosses val="autoZero"/>
        <c:auto val="1"/>
        <c:lblAlgn val="ctr"/>
        <c:lblOffset val="100"/>
        <c:noMultiLvlLbl val="0"/>
      </c:catAx>
      <c:valAx>
        <c:axId val="1142485455"/>
        <c:scaling>
          <c:orientation val="minMax"/>
        </c:scaling>
        <c:delete val="1"/>
        <c:axPos val="l"/>
        <c:numFmt formatCode="General" sourceLinked="1"/>
        <c:majorTickMark val="none"/>
        <c:minorTickMark val="none"/>
        <c:tickLblPos val="nextTo"/>
        <c:crossAx val="1142483055"/>
        <c:crosses val="autoZero"/>
        <c:crossBetween val="between"/>
      </c:valAx>
      <c:spPr>
        <a:noFill/>
        <a:ln w="25400">
          <a:noFill/>
        </a:ln>
        <a:effectLst/>
      </c:spPr>
    </c:plotArea>
    <c:legend>
      <c:legendPos val="r"/>
      <c:layout>
        <c:manualLayout>
          <c:xMode val="edge"/>
          <c:yMode val="edge"/>
          <c:x val="0.71019141677778674"/>
          <c:y val="4.4938802283226156E-3"/>
          <c:w val="0.21809485088948422"/>
          <c:h val="0.17586347386858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888888888888892E-2"/>
          <c:y val="9.0291848850023101E-2"/>
          <c:w val="0.83703703703703702"/>
          <c:h val="0.80135793252994914"/>
        </c:manualLayout>
      </c:layout>
      <c:barChart>
        <c:barDir val="bar"/>
        <c:grouping val="stacked"/>
        <c:varyColors val="0"/>
        <c:ser>
          <c:idx val="0"/>
          <c:order val="0"/>
          <c:spPr>
            <a:solidFill>
              <a:srgbClr val="E5B244"/>
            </a:solidFill>
            <a:ln>
              <a:noFill/>
            </a:ln>
            <a:effectLst/>
          </c:spPr>
          <c:invertIfNegative val="0"/>
          <c:val>
            <c:numRef>
              <c:f>pivottables!$P$10</c:f>
              <c:numCache>
                <c:formatCode>0%</c:formatCode>
                <c:ptCount val="1"/>
                <c:pt idx="0">
                  <c:v>0.46</c:v>
                </c:pt>
              </c:numCache>
            </c:numRef>
          </c:val>
          <c:extLst>
            <c:ext xmlns:c16="http://schemas.microsoft.com/office/drawing/2014/chart" uri="{C3380CC4-5D6E-409C-BE32-E72D297353CC}">
              <c16:uniqueId val="{00000000-5864-4ACE-A7CA-533392326079}"/>
            </c:ext>
          </c:extLst>
        </c:ser>
        <c:ser>
          <c:idx val="1"/>
          <c:order val="1"/>
          <c:spPr>
            <a:solidFill>
              <a:srgbClr val="1F1F1F"/>
            </a:solidFill>
            <a:ln>
              <a:noFill/>
            </a:ln>
            <a:effectLst/>
          </c:spPr>
          <c:invertIfNegative val="0"/>
          <c:val>
            <c:numRef>
              <c:f>pivottables!$Q$10</c:f>
              <c:numCache>
                <c:formatCode>0%</c:formatCode>
                <c:ptCount val="1"/>
                <c:pt idx="0">
                  <c:v>0.54</c:v>
                </c:pt>
              </c:numCache>
            </c:numRef>
          </c:val>
          <c:extLst>
            <c:ext xmlns:c16="http://schemas.microsoft.com/office/drawing/2014/chart" uri="{C3380CC4-5D6E-409C-BE32-E72D297353CC}">
              <c16:uniqueId val="{00000001-5864-4ACE-A7CA-533392326079}"/>
            </c:ext>
          </c:extLst>
        </c:ser>
        <c:dLbls>
          <c:showLegendKey val="0"/>
          <c:showVal val="0"/>
          <c:showCatName val="0"/>
          <c:showSerName val="0"/>
          <c:showPercent val="0"/>
          <c:showBubbleSize val="0"/>
        </c:dLbls>
        <c:gapWidth val="219"/>
        <c:overlap val="100"/>
        <c:axId val="1140149967"/>
        <c:axId val="1140150447"/>
      </c:barChart>
      <c:catAx>
        <c:axId val="1140149967"/>
        <c:scaling>
          <c:orientation val="minMax"/>
        </c:scaling>
        <c:delete val="1"/>
        <c:axPos val="l"/>
        <c:majorTickMark val="none"/>
        <c:minorTickMark val="none"/>
        <c:tickLblPos val="nextTo"/>
        <c:crossAx val="1140150447"/>
        <c:crosses val="autoZero"/>
        <c:auto val="1"/>
        <c:lblAlgn val="ctr"/>
        <c:lblOffset val="100"/>
        <c:noMultiLvlLbl val="0"/>
      </c:catAx>
      <c:valAx>
        <c:axId val="1140150447"/>
        <c:scaling>
          <c:orientation val="minMax"/>
        </c:scaling>
        <c:delete val="1"/>
        <c:axPos val="b"/>
        <c:numFmt formatCode="0%" sourceLinked="1"/>
        <c:majorTickMark val="none"/>
        <c:minorTickMark val="none"/>
        <c:tickLblPos val="nextTo"/>
        <c:crossAx val="114014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283239514034988E-2"/>
          <c:y val="7.2549870895505339E-2"/>
          <c:w val="0.82348072755760249"/>
          <c:h val="0.77198612004269751"/>
        </c:manualLayout>
      </c:layout>
      <c:barChart>
        <c:barDir val="bar"/>
        <c:grouping val="stacked"/>
        <c:varyColors val="0"/>
        <c:ser>
          <c:idx val="0"/>
          <c:order val="0"/>
          <c:spPr>
            <a:solidFill>
              <a:srgbClr val="E5B244"/>
            </a:solidFill>
            <a:ln>
              <a:noFill/>
            </a:ln>
            <a:effectLst/>
          </c:spPr>
          <c:invertIfNegative val="0"/>
          <c:val>
            <c:numRef>
              <c:f>pivottables!$P$11</c:f>
              <c:numCache>
                <c:formatCode>0%</c:formatCode>
                <c:ptCount val="1"/>
                <c:pt idx="0">
                  <c:v>0.16</c:v>
                </c:pt>
              </c:numCache>
            </c:numRef>
          </c:val>
          <c:extLst>
            <c:ext xmlns:c16="http://schemas.microsoft.com/office/drawing/2014/chart" uri="{C3380CC4-5D6E-409C-BE32-E72D297353CC}">
              <c16:uniqueId val="{00000000-15A7-47FA-8BBC-194172DFF4B5}"/>
            </c:ext>
          </c:extLst>
        </c:ser>
        <c:ser>
          <c:idx val="1"/>
          <c:order val="1"/>
          <c:spPr>
            <a:solidFill>
              <a:srgbClr val="1F1F1F"/>
            </a:solidFill>
            <a:ln>
              <a:noFill/>
            </a:ln>
            <a:effectLst/>
          </c:spPr>
          <c:invertIfNegative val="0"/>
          <c:val>
            <c:numRef>
              <c:f>pivottables!$Q$11</c:f>
              <c:numCache>
                <c:formatCode>0%</c:formatCode>
                <c:ptCount val="1"/>
                <c:pt idx="0">
                  <c:v>0.84</c:v>
                </c:pt>
              </c:numCache>
            </c:numRef>
          </c:val>
          <c:extLst>
            <c:ext xmlns:c16="http://schemas.microsoft.com/office/drawing/2014/chart" uri="{C3380CC4-5D6E-409C-BE32-E72D297353CC}">
              <c16:uniqueId val="{00000001-15A7-47FA-8BBC-194172DFF4B5}"/>
            </c:ext>
          </c:extLst>
        </c:ser>
        <c:dLbls>
          <c:showLegendKey val="0"/>
          <c:showVal val="0"/>
          <c:showCatName val="0"/>
          <c:showSerName val="0"/>
          <c:showPercent val="0"/>
          <c:showBubbleSize val="0"/>
        </c:dLbls>
        <c:gapWidth val="219"/>
        <c:overlap val="100"/>
        <c:axId val="1246771503"/>
        <c:axId val="1246768623"/>
      </c:barChart>
      <c:catAx>
        <c:axId val="1246771503"/>
        <c:scaling>
          <c:orientation val="minMax"/>
        </c:scaling>
        <c:delete val="1"/>
        <c:axPos val="l"/>
        <c:majorTickMark val="none"/>
        <c:minorTickMark val="none"/>
        <c:tickLblPos val="nextTo"/>
        <c:crossAx val="1246768623"/>
        <c:crosses val="autoZero"/>
        <c:auto val="1"/>
        <c:lblAlgn val="ctr"/>
        <c:lblOffset val="100"/>
        <c:noMultiLvlLbl val="0"/>
      </c:catAx>
      <c:valAx>
        <c:axId val="1246768623"/>
        <c:scaling>
          <c:orientation val="minMax"/>
        </c:scaling>
        <c:delete val="1"/>
        <c:axPos val="b"/>
        <c:numFmt formatCode="0%" sourceLinked="1"/>
        <c:majorTickMark val="none"/>
        <c:minorTickMark val="none"/>
        <c:tickLblPos val="nextTo"/>
        <c:crossAx val="124677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473756273472787E-2"/>
          <c:y val="7.8540021397517645E-2"/>
          <c:w val="0.86529811349863317"/>
          <c:h val="0.82721195292546124"/>
        </c:manualLayout>
      </c:layout>
      <c:barChart>
        <c:barDir val="bar"/>
        <c:grouping val="stacked"/>
        <c:varyColors val="0"/>
        <c:ser>
          <c:idx val="0"/>
          <c:order val="0"/>
          <c:spPr>
            <a:solidFill>
              <a:srgbClr val="E5B244"/>
            </a:solidFill>
            <a:ln>
              <a:noFill/>
            </a:ln>
            <a:effectLst/>
          </c:spPr>
          <c:invertIfNegative val="0"/>
          <c:val>
            <c:numRef>
              <c:f>pivottables!$P$12</c:f>
              <c:numCache>
                <c:formatCode>0%</c:formatCode>
                <c:ptCount val="1"/>
                <c:pt idx="0">
                  <c:v>0.38</c:v>
                </c:pt>
              </c:numCache>
            </c:numRef>
          </c:val>
          <c:extLst>
            <c:ext xmlns:c16="http://schemas.microsoft.com/office/drawing/2014/chart" uri="{C3380CC4-5D6E-409C-BE32-E72D297353CC}">
              <c16:uniqueId val="{00000000-C7FA-452C-A1F5-3B031156D988}"/>
            </c:ext>
          </c:extLst>
        </c:ser>
        <c:ser>
          <c:idx val="1"/>
          <c:order val="1"/>
          <c:spPr>
            <a:solidFill>
              <a:srgbClr val="1F1F1F"/>
            </a:solidFill>
            <a:ln>
              <a:noFill/>
            </a:ln>
            <a:effectLst/>
          </c:spPr>
          <c:invertIfNegative val="0"/>
          <c:val>
            <c:numRef>
              <c:f>pivottables!$Q$12</c:f>
              <c:numCache>
                <c:formatCode>0%</c:formatCode>
                <c:ptCount val="1"/>
                <c:pt idx="0">
                  <c:v>0.62</c:v>
                </c:pt>
              </c:numCache>
            </c:numRef>
          </c:val>
          <c:extLst>
            <c:ext xmlns:c16="http://schemas.microsoft.com/office/drawing/2014/chart" uri="{C3380CC4-5D6E-409C-BE32-E72D297353CC}">
              <c16:uniqueId val="{00000001-C7FA-452C-A1F5-3B031156D988}"/>
            </c:ext>
          </c:extLst>
        </c:ser>
        <c:dLbls>
          <c:showLegendKey val="0"/>
          <c:showVal val="0"/>
          <c:showCatName val="0"/>
          <c:showSerName val="0"/>
          <c:showPercent val="0"/>
          <c:showBubbleSize val="0"/>
        </c:dLbls>
        <c:gapWidth val="150"/>
        <c:overlap val="100"/>
        <c:axId val="1237824591"/>
        <c:axId val="1237829871"/>
      </c:barChart>
      <c:catAx>
        <c:axId val="1237824591"/>
        <c:scaling>
          <c:orientation val="minMax"/>
        </c:scaling>
        <c:delete val="1"/>
        <c:axPos val="l"/>
        <c:numFmt formatCode="General" sourceLinked="1"/>
        <c:majorTickMark val="none"/>
        <c:minorTickMark val="none"/>
        <c:tickLblPos val="nextTo"/>
        <c:crossAx val="1237829871"/>
        <c:crosses val="autoZero"/>
        <c:auto val="1"/>
        <c:lblAlgn val="ctr"/>
        <c:lblOffset val="100"/>
        <c:noMultiLvlLbl val="0"/>
      </c:catAx>
      <c:valAx>
        <c:axId val="1237829871"/>
        <c:scaling>
          <c:orientation val="minMax"/>
        </c:scaling>
        <c:delete val="1"/>
        <c:axPos val="b"/>
        <c:numFmt formatCode="0%" sourceLinked="1"/>
        <c:majorTickMark val="none"/>
        <c:minorTickMark val="none"/>
        <c:tickLblPos val="nextTo"/>
        <c:crossAx val="12378245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6054679376351"/>
          <c:y val="0.14478939210053182"/>
          <c:w val="0.68230338735260065"/>
          <c:h val="0.72151638015852115"/>
        </c:manualLayout>
      </c:layout>
      <c:doughnutChart>
        <c:varyColors val="1"/>
        <c:ser>
          <c:idx val="0"/>
          <c:order val="0"/>
          <c:spPr>
            <a:ln>
              <a:noFill/>
            </a:ln>
          </c:spPr>
          <c:dPt>
            <c:idx val="0"/>
            <c:bubble3D val="0"/>
            <c:explosion val="5"/>
            <c:spPr>
              <a:solidFill>
                <a:schemeClr val="bg1">
                  <a:lumMod val="95000"/>
                </a:schemeClr>
              </a:solidFill>
              <a:ln w="19050">
                <a:noFill/>
              </a:ln>
              <a:effectLst/>
            </c:spPr>
            <c:extLst>
              <c:ext xmlns:c16="http://schemas.microsoft.com/office/drawing/2014/chart" uri="{C3380CC4-5D6E-409C-BE32-E72D297353CC}">
                <c16:uniqueId val="{00000001-39C6-493A-BDE6-E501E5FF4368}"/>
              </c:ext>
            </c:extLst>
          </c:dPt>
          <c:dPt>
            <c:idx val="1"/>
            <c:bubble3D val="0"/>
            <c:spPr>
              <a:solidFill>
                <a:srgbClr val="1F1F1F"/>
              </a:solidFill>
              <a:ln w="19050">
                <a:noFill/>
              </a:ln>
              <a:effectLst/>
            </c:spPr>
            <c:extLst>
              <c:ext xmlns:c16="http://schemas.microsoft.com/office/drawing/2014/chart" uri="{C3380CC4-5D6E-409C-BE32-E72D297353CC}">
                <c16:uniqueId val="{00000003-39C6-493A-BDE6-E501E5FF4368}"/>
              </c:ext>
            </c:extLst>
          </c:dPt>
          <c:val>
            <c:numRef>
              <c:f>pivottables!$K$21:$L$21</c:f>
              <c:numCache>
                <c:formatCode>0%</c:formatCode>
                <c:ptCount val="2"/>
                <c:pt idx="0">
                  <c:v>0.52</c:v>
                </c:pt>
                <c:pt idx="1">
                  <c:v>0.48</c:v>
                </c:pt>
              </c:numCache>
            </c:numRef>
          </c:val>
          <c:extLst>
            <c:ext xmlns:c16="http://schemas.microsoft.com/office/drawing/2014/chart" uri="{C3380CC4-5D6E-409C-BE32-E72D297353CC}">
              <c16:uniqueId val="{00000004-39C6-493A-BDE6-E501E5FF436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03638724416266"/>
          <c:y val="0.12020889549983643"/>
          <c:w val="0.67602249718785157"/>
          <c:h val="0.78103480900136479"/>
        </c:manualLayout>
      </c:layout>
      <c:doughnutChart>
        <c:varyColors val="1"/>
        <c:ser>
          <c:idx val="0"/>
          <c:order val="0"/>
          <c:spPr>
            <a:ln>
              <a:noFill/>
            </a:ln>
          </c:spPr>
          <c:dPt>
            <c:idx val="0"/>
            <c:bubble3D val="0"/>
            <c:spPr>
              <a:solidFill>
                <a:srgbClr val="E5B244"/>
              </a:solidFill>
              <a:ln w="19050">
                <a:noFill/>
              </a:ln>
              <a:effectLst/>
            </c:spPr>
            <c:extLst>
              <c:ext xmlns:c16="http://schemas.microsoft.com/office/drawing/2014/chart" uri="{C3380CC4-5D6E-409C-BE32-E72D297353CC}">
                <c16:uniqueId val="{00000001-1190-4355-9FDF-F59A88A8183C}"/>
              </c:ext>
            </c:extLst>
          </c:dPt>
          <c:dPt>
            <c:idx val="1"/>
            <c:bubble3D val="0"/>
            <c:spPr>
              <a:solidFill>
                <a:srgbClr val="1F1F1F"/>
              </a:solidFill>
              <a:ln w="19050">
                <a:noFill/>
              </a:ln>
              <a:effectLst/>
            </c:spPr>
            <c:extLst>
              <c:ext xmlns:c16="http://schemas.microsoft.com/office/drawing/2014/chart" uri="{C3380CC4-5D6E-409C-BE32-E72D297353CC}">
                <c16:uniqueId val="{00000003-1190-4355-9FDF-F59A88A8183C}"/>
              </c:ext>
            </c:extLst>
          </c:dPt>
          <c:val>
            <c:numRef>
              <c:f>pivottables!$K$20:$L$20</c:f>
              <c:numCache>
                <c:formatCode>0%</c:formatCode>
                <c:ptCount val="2"/>
                <c:pt idx="0">
                  <c:v>0.48</c:v>
                </c:pt>
                <c:pt idx="1">
                  <c:v>0.52</c:v>
                </c:pt>
              </c:numCache>
            </c:numRef>
          </c:val>
          <c:extLst>
            <c:ext xmlns:c16="http://schemas.microsoft.com/office/drawing/2014/chart" uri="{C3380CC4-5D6E-409C-BE32-E72D297353CC}">
              <c16:uniqueId val="{00000004-1190-4355-9FDF-F59A88A8183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39513014108363E-2"/>
          <c:y val="0.17070524036739165"/>
          <c:w val="0.83467417340163896"/>
          <c:h val="0.59442664714444193"/>
        </c:manualLayout>
      </c:layout>
      <c:barChart>
        <c:barDir val="col"/>
        <c:grouping val="clustered"/>
        <c:varyColors val="0"/>
        <c:ser>
          <c:idx val="0"/>
          <c:order val="0"/>
          <c:tx>
            <c:strRef>
              <c:f>pivottables!$E$11</c:f>
              <c:strCache>
                <c:ptCount val="1"/>
                <c:pt idx="0">
                  <c:v>Analyst</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Kulim Park"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pivottables!$G$11</c:f>
              <c:numCache>
                <c:formatCode>_ * #,##0_ ;_ * \-#,##0_ ;_ * "-"??_ ;_ @_ </c:formatCode>
                <c:ptCount val="1"/>
                <c:pt idx="0">
                  <c:v>28</c:v>
                </c:pt>
              </c:numCache>
            </c:numRef>
          </c:val>
          <c:extLst>
            <c:ext xmlns:c16="http://schemas.microsoft.com/office/drawing/2014/chart" uri="{C3380CC4-5D6E-409C-BE32-E72D297353CC}">
              <c16:uniqueId val="{00000000-E6ED-4D0E-977C-E5D651F55523}"/>
            </c:ext>
          </c:extLst>
        </c:ser>
        <c:ser>
          <c:idx val="1"/>
          <c:order val="1"/>
          <c:tx>
            <c:strRef>
              <c:f>pivottables!$E$12</c:f>
              <c:strCache>
                <c:ptCount val="1"/>
                <c:pt idx="0">
                  <c:v>Designer</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Kulim Park"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pivottables!$G$12</c:f>
              <c:numCache>
                <c:formatCode>_ * #,##0_ ;_ * \-#,##0_ ;_ * "-"??_ ;_ @_ </c:formatCode>
                <c:ptCount val="1"/>
                <c:pt idx="0">
                  <c:v>110</c:v>
                </c:pt>
              </c:numCache>
            </c:numRef>
          </c:val>
          <c:extLst>
            <c:ext xmlns:c16="http://schemas.microsoft.com/office/drawing/2014/chart" uri="{C3380CC4-5D6E-409C-BE32-E72D297353CC}">
              <c16:uniqueId val="{00000001-E6ED-4D0E-977C-E5D651F55523}"/>
            </c:ext>
          </c:extLst>
        </c:ser>
        <c:ser>
          <c:idx val="2"/>
          <c:order val="2"/>
          <c:tx>
            <c:strRef>
              <c:f>pivottables!$E$13</c:f>
              <c:strCache>
                <c:ptCount val="1"/>
                <c:pt idx="0">
                  <c:v>Developer</c:v>
                </c:pt>
              </c:strCache>
            </c:strRef>
          </c:tx>
          <c:spPr>
            <a:solidFill>
              <a:srgbClr val="9EC8A6"/>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Kulim Park"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pivottables!$G$13</c:f>
              <c:numCache>
                <c:formatCode>_ * #,##0_ ;_ * \-#,##0_ ;_ * "-"??_ ;_ @_ </c:formatCode>
                <c:ptCount val="1"/>
                <c:pt idx="0">
                  <c:v>104</c:v>
                </c:pt>
              </c:numCache>
            </c:numRef>
          </c:val>
          <c:extLst>
            <c:ext xmlns:c16="http://schemas.microsoft.com/office/drawing/2014/chart" uri="{C3380CC4-5D6E-409C-BE32-E72D297353CC}">
              <c16:uniqueId val="{00000002-E6ED-4D0E-977C-E5D651F55523}"/>
            </c:ext>
          </c:extLst>
        </c:ser>
        <c:ser>
          <c:idx val="3"/>
          <c:order val="3"/>
          <c:tx>
            <c:strRef>
              <c:f>pivottables!$E$14</c:f>
              <c:strCache>
                <c:ptCount val="1"/>
                <c:pt idx="0">
                  <c:v>HR Specialist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Kulim Park"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pivottables!$G$14</c:f>
              <c:numCache>
                <c:formatCode>_ * #,##0_ ;_ * \-#,##0_ ;_ * "-"??_ ;_ @_ </c:formatCode>
                <c:ptCount val="1"/>
                <c:pt idx="0">
                  <c:v>123</c:v>
                </c:pt>
              </c:numCache>
            </c:numRef>
          </c:val>
          <c:extLst>
            <c:ext xmlns:c16="http://schemas.microsoft.com/office/drawing/2014/chart" uri="{C3380CC4-5D6E-409C-BE32-E72D297353CC}">
              <c16:uniqueId val="{00000003-E6ED-4D0E-977C-E5D651F55523}"/>
            </c:ext>
          </c:extLst>
        </c:ser>
        <c:ser>
          <c:idx val="4"/>
          <c:order val="4"/>
          <c:tx>
            <c:strRef>
              <c:f>pivottables!$E$15</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Kulim Park"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pivottables!$G$15</c:f>
              <c:numCache>
                <c:formatCode>_ * #,##0_ ;_ * \-#,##0_ ;_ * "-"??_ ;_ @_ </c:formatCode>
                <c:ptCount val="1"/>
                <c:pt idx="0">
                  <c:v>122</c:v>
                </c:pt>
              </c:numCache>
            </c:numRef>
          </c:val>
          <c:extLst>
            <c:ext xmlns:c16="http://schemas.microsoft.com/office/drawing/2014/chart" uri="{C3380CC4-5D6E-409C-BE32-E72D297353CC}">
              <c16:uniqueId val="{00000004-E6ED-4D0E-977C-E5D651F55523}"/>
            </c:ext>
          </c:extLst>
        </c:ser>
        <c:dLbls>
          <c:dLblPos val="outEnd"/>
          <c:showLegendKey val="0"/>
          <c:showVal val="1"/>
          <c:showCatName val="0"/>
          <c:showSerName val="0"/>
          <c:showPercent val="0"/>
          <c:showBubbleSize val="0"/>
        </c:dLbls>
        <c:gapWidth val="219"/>
        <c:overlap val="-27"/>
        <c:axId val="1088735807"/>
        <c:axId val="1088734367"/>
      </c:barChart>
      <c:catAx>
        <c:axId val="1088735807"/>
        <c:scaling>
          <c:orientation val="minMax"/>
        </c:scaling>
        <c:delete val="1"/>
        <c:axPos val="b"/>
        <c:numFmt formatCode="General" sourceLinked="1"/>
        <c:majorTickMark val="none"/>
        <c:minorTickMark val="none"/>
        <c:tickLblPos val="nextTo"/>
        <c:crossAx val="1088734367"/>
        <c:crosses val="autoZero"/>
        <c:auto val="1"/>
        <c:lblAlgn val="ctr"/>
        <c:lblOffset val="100"/>
        <c:noMultiLvlLbl val="0"/>
      </c:catAx>
      <c:valAx>
        <c:axId val="1088734367"/>
        <c:scaling>
          <c:orientation val="minMax"/>
        </c:scaling>
        <c:delete val="1"/>
        <c:axPos val="l"/>
        <c:majorGridlines>
          <c:spPr>
            <a:ln w="3175" cap="flat" cmpd="sng" algn="ctr">
              <a:solidFill>
                <a:schemeClr val="lt1">
                  <a:shade val="50000"/>
                  <a:alpha val="85000"/>
                </a:schemeClr>
              </a:solidFill>
              <a:prstDash val="sysDot"/>
              <a:round/>
            </a:ln>
            <a:effectLst/>
          </c:spPr>
        </c:majorGridlines>
        <c:numFmt formatCode="_ * #,##0_ ;_ * \-#,##0_ ;_ * &quot;-&quot;??_ ;_ @_ " sourceLinked="1"/>
        <c:majorTickMark val="none"/>
        <c:minorTickMark val="none"/>
        <c:tickLblPos val="nextTo"/>
        <c:crossAx val="1088735807"/>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legendEntry>
      <c:layout>
        <c:manualLayout>
          <c:xMode val="edge"/>
          <c:yMode val="edge"/>
          <c:x val="7.8490020424424295E-2"/>
          <c:y val="0.78293107748944191"/>
          <c:w val="0.91384385184497208"/>
          <c:h val="0.2152549006115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[Workforce_Insights.xlsx]pivottables!region table</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10322453913831"/>
          <c:y val="1.0793373388466256E-2"/>
          <c:w val="0.70583265110632931"/>
          <c:h val="0.98181332745802752"/>
        </c:manualLayout>
      </c:layout>
      <c:barChart>
        <c:barDir val="bar"/>
        <c:grouping val="clustered"/>
        <c:varyColors val="0"/>
        <c:ser>
          <c:idx val="0"/>
          <c:order val="0"/>
          <c:tx>
            <c:strRef>
              <c:f>pivottables!$W$4</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pivottables!$V$5:$V$10</c:f>
              <c:strCache>
                <c:ptCount val="5"/>
                <c:pt idx="0">
                  <c:v>Central</c:v>
                </c:pt>
                <c:pt idx="1">
                  <c:v>East</c:v>
                </c:pt>
                <c:pt idx="2">
                  <c:v>North</c:v>
                </c:pt>
                <c:pt idx="3">
                  <c:v>South</c:v>
                </c:pt>
                <c:pt idx="4">
                  <c:v>West</c:v>
                </c:pt>
              </c:strCache>
            </c:strRef>
          </c:cat>
          <c:val>
            <c:numRef>
              <c:f>pivottables!$W$5:$W$10</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1F7F-449A-B423-237C1582780D}"/>
            </c:ext>
          </c:extLst>
        </c:ser>
        <c:dLbls>
          <c:dLblPos val="outEnd"/>
          <c:showLegendKey val="0"/>
          <c:showVal val="1"/>
          <c:showCatName val="0"/>
          <c:showSerName val="0"/>
          <c:showPercent val="0"/>
          <c:showBubbleSize val="0"/>
        </c:dLbls>
        <c:gapWidth val="32"/>
        <c:axId val="1261178911"/>
        <c:axId val="1261179391"/>
      </c:barChart>
      <c:catAx>
        <c:axId val="126117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261179391"/>
        <c:crosses val="autoZero"/>
        <c:auto val="1"/>
        <c:lblAlgn val="ctr"/>
        <c:lblOffset val="100"/>
        <c:noMultiLvlLbl val="0"/>
      </c:catAx>
      <c:valAx>
        <c:axId val="1261179391"/>
        <c:scaling>
          <c:orientation val="minMax"/>
        </c:scaling>
        <c:delete val="1"/>
        <c:axPos val="b"/>
        <c:numFmt formatCode="General" sourceLinked="1"/>
        <c:majorTickMark val="none"/>
        <c:minorTickMark val="none"/>
        <c:tickLblPos val="nextTo"/>
        <c:crossAx val="126117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chart" Target="../charts/chart8.xml"/><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8</xdr:col>
      <xdr:colOff>222664</xdr:colOff>
      <xdr:row>9</xdr:row>
      <xdr:rowOff>175405</xdr:rowOff>
    </xdr:from>
    <xdr:to>
      <xdr:col>30</xdr:col>
      <xdr:colOff>71594</xdr:colOff>
      <xdr:row>48</xdr:row>
      <xdr:rowOff>24983</xdr:rowOff>
    </xdr:to>
    <xdr:grpSp>
      <xdr:nvGrpSpPr>
        <xdr:cNvPr id="8" name="Group 7">
          <a:extLst>
            <a:ext uri="{FF2B5EF4-FFF2-40B4-BE49-F238E27FC236}">
              <a16:creationId xmlns:a16="http://schemas.microsoft.com/office/drawing/2014/main" id="{9C1F9C1D-F590-E029-CB9C-F8D80EBDDACC}"/>
            </a:ext>
          </a:extLst>
        </xdr:cNvPr>
        <xdr:cNvGrpSpPr/>
      </xdr:nvGrpSpPr>
      <xdr:grpSpPr>
        <a:xfrm>
          <a:off x="5107279" y="1933867"/>
          <a:ext cx="13281623" cy="7469578"/>
          <a:chOff x="2622205" y="1909386"/>
          <a:chExt cx="13301522" cy="7195858"/>
        </a:xfrm>
      </xdr:grpSpPr>
      <xdr:grpSp>
        <xdr:nvGrpSpPr>
          <xdr:cNvPr id="152" name="Group 151">
            <a:extLst>
              <a:ext uri="{FF2B5EF4-FFF2-40B4-BE49-F238E27FC236}">
                <a16:creationId xmlns:a16="http://schemas.microsoft.com/office/drawing/2014/main" id="{69B9C051-162D-9115-9345-A839701D2609}"/>
              </a:ext>
            </a:extLst>
          </xdr:cNvPr>
          <xdr:cNvGrpSpPr/>
        </xdr:nvGrpSpPr>
        <xdr:grpSpPr>
          <a:xfrm>
            <a:off x="2622205" y="1909386"/>
            <a:ext cx="13301522" cy="7195858"/>
            <a:chOff x="242637" y="368243"/>
            <a:chExt cx="10528037" cy="6164057"/>
          </a:xfrm>
        </xdr:grpSpPr>
        <xdr:sp macro="" textlink="">
          <xdr:nvSpPr>
            <xdr:cNvPr id="2" name="Rectangle: Rounded Corners 1">
              <a:extLst>
                <a:ext uri="{FF2B5EF4-FFF2-40B4-BE49-F238E27FC236}">
                  <a16:creationId xmlns:a16="http://schemas.microsoft.com/office/drawing/2014/main" id="{3EA68E70-4990-7FD2-7065-2258239D9BE1}"/>
                </a:ext>
              </a:extLst>
            </xdr:cNvPr>
            <xdr:cNvSpPr/>
          </xdr:nvSpPr>
          <xdr:spPr>
            <a:xfrm>
              <a:off x="242637" y="389856"/>
              <a:ext cx="10528037" cy="6142444"/>
            </a:xfrm>
            <a:prstGeom prst="roundRect">
              <a:avLst>
                <a:gd name="adj" fmla="val 5344"/>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D875E167-717E-A3E5-06C9-3D08AC1DC92D}"/>
                </a:ext>
              </a:extLst>
            </xdr:cNvPr>
            <xdr:cNvSpPr/>
          </xdr:nvSpPr>
          <xdr:spPr>
            <a:xfrm>
              <a:off x="5206475" y="3941963"/>
              <a:ext cx="2451433" cy="2341224"/>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Rectangle: Rounded Corners 44">
              <a:extLst>
                <a:ext uri="{FF2B5EF4-FFF2-40B4-BE49-F238E27FC236}">
                  <a16:creationId xmlns:a16="http://schemas.microsoft.com/office/drawing/2014/main" id="{74B35160-6D3F-7D60-1301-B50382BE25D1}"/>
                </a:ext>
              </a:extLst>
            </xdr:cNvPr>
            <xdr:cNvSpPr/>
          </xdr:nvSpPr>
          <xdr:spPr>
            <a:xfrm>
              <a:off x="6540327" y="4393885"/>
              <a:ext cx="1075577" cy="243890"/>
            </a:xfrm>
            <a:prstGeom prst="round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extLst>
                <a:ext uri="{FF2B5EF4-FFF2-40B4-BE49-F238E27FC236}">
                  <a16:creationId xmlns:a16="http://schemas.microsoft.com/office/drawing/2014/main" id="{05BE6E9D-8848-F929-D8B4-123665F4A2BB}"/>
                </a:ext>
              </a:extLst>
            </xdr:cNvPr>
            <xdr:cNvSpPr/>
          </xdr:nvSpPr>
          <xdr:spPr>
            <a:xfrm>
              <a:off x="6540327" y="4706855"/>
              <a:ext cx="1075577" cy="235782"/>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ectangle: Rounded Corners 46">
              <a:extLst>
                <a:ext uri="{FF2B5EF4-FFF2-40B4-BE49-F238E27FC236}">
                  <a16:creationId xmlns:a16="http://schemas.microsoft.com/office/drawing/2014/main" id="{5D154064-80D4-1555-BED8-129B64606FC3}"/>
                </a:ext>
              </a:extLst>
            </xdr:cNvPr>
            <xdr:cNvSpPr/>
          </xdr:nvSpPr>
          <xdr:spPr>
            <a:xfrm>
              <a:off x="6540327" y="5011717"/>
              <a:ext cx="1075577" cy="24389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Rectangle: Rounded Corners 47">
              <a:extLst>
                <a:ext uri="{FF2B5EF4-FFF2-40B4-BE49-F238E27FC236}">
                  <a16:creationId xmlns:a16="http://schemas.microsoft.com/office/drawing/2014/main" id="{100D7B64-5842-A141-DB60-20A57CCDAAA2}"/>
                </a:ext>
              </a:extLst>
            </xdr:cNvPr>
            <xdr:cNvSpPr/>
          </xdr:nvSpPr>
          <xdr:spPr>
            <a:xfrm>
              <a:off x="6540327" y="5316578"/>
              <a:ext cx="1075577" cy="24389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Rounded Corners 48">
              <a:extLst>
                <a:ext uri="{FF2B5EF4-FFF2-40B4-BE49-F238E27FC236}">
                  <a16:creationId xmlns:a16="http://schemas.microsoft.com/office/drawing/2014/main" id="{C9035BBB-6B36-6CB9-837E-5AB012D70771}"/>
                </a:ext>
              </a:extLst>
            </xdr:cNvPr>
            <xdr:cNvSpPr/>
          </xdr:nvSpPr>
          <xdr:spPr>
            <a:xfrm flipV="1">
              <a:off x="6540327" y="5629548"/>
              <a:ext cx="1075577" cy="217559"/>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Rounded Corners 49">
              <a:extLst>
                <a:ext uri="{FF2B5EF4-FFF2-40B4-BE49-F238E27FC236}">
                  <a16:creationId xmlns:a16="http://schemas.microsoft.com/office/drawing/2014/main" id="{FB66684B-9498-31B5-6896-A070C6C7A61F}"/>
                </a:ext>
              </a:extLst>
            </xdr:cNvPr>
            <xdr:cNvSpPr/>
          </xdr:nvSpPr>
          <xdr:spPr>
            <a:xfrm flipV="1">
              <a:off x="6540327" y="5916189"/>
              <a:ext cx="1075577" cy="225668"/>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3BA84575-ECCF-F2F0-F5F2-8223070462BB}"/>
                </a:ext>
              </a:extLst>
            </xdr:cNvPr>
            <xdr:cNvSpPr/>
          </xdr:nvSpPr>
          <xdr:spPr>
            <a:xfrm>
              <a:off x="528442" y="4552719"/>
              <a:ext cx="1910576" cy="1730468"/>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3DE0D4CC-A3FC-85BB-B9DC-2DAF0E6C29A6}"/>
                </a:ext>
              </a:extLst>
            </xdr:cNvPr>
            <xdr:cNvSpPr/>
          </xdr:nvSpPr>
          <xdr:spPr>
            <a:xfrm>
              <a:off x="528442" y="1543089"/>
              <a:ext cx="1910576" cy="2872114"/>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97A3EAD7-1A03-7774-75C6-B79BF5812FAC}"/>
                </a:ext>
              </a:extLst>
            </xdr:cNvPr>
            <xdr:cNvSpPr/>
          </xdr:nvSpPr>
          <xdr:spPr>
            <a:xfrm>
              <a:off x="2639119" y="4035896"/>
              <a:ext cx="2451435" cy="2247291"/>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2C4DF9E5-4D29-CAF8-9682-82BF3352FBE6}"/>
                </a:ext>
              </a:extLst>
            </xdr:cNvPr>
            <xdr:cNvSpPr/>
          </xdr:nvSpPr>
          <xdr:spPr>
            <a:xfrm>
              <a:off x="5206475" y="1543089"/>
              <a:ext cx="2451433" cy="2247290"/>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68E76C12-F08C-B45B-0FDF-AF00556E6F14}"/>
                </a:ext>
              </a:extLst>
            </xdr:cNvPr>
            <xdr:cNvSpPr/>
          </xdr:nvSpPr>
          <xdr:spPr>
            <a:xfrm>
              <a:off x="2639119" y="1543090"/>
              <a:ext cx="2451435" cy="1070449"/>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C6B9EC5C-3461-1D96-C867-F4DB625FAEBA}"/>
                </a:ext>
              </a:extLst>
            </xdr:cNvPr>
            <xdr:cNvSpPr/>
          </xdr:nvSpPr>
          <xdr:spPr>
            <a:xfrm>
              <a:off x="2652167" y="2710197"/>
              <a:ext cx="1171717" cy="1041371"/>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09E26A3A-73E4-4752-48FF-BEC773C5E499}"/>
                </a:ext>
              </a:extLst>
            </xdr:cNvPr>
            <xdr:cNvSpPr/>
          </xdr:nvSpPr>
          <xdr:spPr>
            <a:xfrm>
              <a:off x="2665215" y="2749341"/>
              <a:ext cx="1171717" cy="1033644"/>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7BCF8915-AD0E-BD9A-5F1C-B6D8DBB5D49E}"/>
                </a:ext>
              </a:extLst>
            </xdr:cNvPr>
            <xdr:cNvSpPr/>
          </xdr:nvSpPr>
          <xdr:spPr>
            <a:xfrm>
              <a:off x="3919534" y="2723245"/>
              <a:ext cx="1171718" cy="1041371"/>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D385A7F5-4890-A909-570B-DAA507EC637F}"/>
                </a:ext>
              </a:extLst>
            </xdr:cNvPr>
            <xdr:cNvSpPr/>
          </xdr:nvSpPr>
          <xdr:spPr>
            <a:xfrm>
              <a:off x="8107410" y="5249541"/>
              <a:ext cx="1080859" cy="1033646"/>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87FD3060-FE54-7FFA-592F-0A7AB5C7159A}"/>
                </a:ext>
              </a:extLst>
            </xdr:cNvPr>
            <xdr:cNvSpPr/>
          </xdr:nvSpPr>
          <xdr:spPr>
            <a:xfrm>
              <a:off x="9426970" y="5249541"/>
              <a:ext cx="1081716" cy="1033646"/>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9475C205-6E6A-1904-0C22-B6BD2D36046B}"/>
                </a:ext>
              </a:extLst>
            </xdr:cNvPr>
            <xdr:cNvSpPr/>
          </xdr:nvSpPr>
          <xdr:spPr>
            <a:xfrm>
              <a:off x="9454984" y="4071202"/>
              <a:ext cx="1081716" cy="1033645"/>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ectangle: Rounded Corners 30">
              <a:extLst>
                <a:ext uri="{FF2B5EF4-FFF2-40B4-BE49-F238E27FC236}">
                  <a16:creationId xmlns:a16="http://schemas.microsoft.com/office/drawing/2014/main" id="{D55A0190-9A42-A848-D0AC-072BAAE9F4A0}"/>
                </a:ext>
              </a:extLst>
            </xdr:cNvPr>
            <xdr:cNvSpPr/>
          </xdr:nvSpPr>
          <xdr:spPr>
            <a:xfrm>
              <a:off x="7923882" y="2360304"/>
              <a:ext cx="2545892" cy="1430074"/>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9A1A7019-9FF7-E984-5267-0B2C9E24C783}"/>
                </a:ext>
              </a:extLst>
            </xdr:cNvPr>
            <xdr:cNvSpPr/>
          </xdr:nvSpPr>
          <xdr:spPr>
            <a:xfrm>
              <a:off x="7936930" y="751974"/>
              <a:ext cx="2545892" cy="1463897"/>
            </a:xfrm>
            <a:prstGeom prst="roundRect">
              <a:avLst>
                <a:gd name="adj" fmla="val 869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0" name="Group 9">
              <a:extLst>
                <a:ext uri="{FF2B5EF4-FFF2-40B4-BE49-F238E27FC236}">
                  <a16:creationId xmlns:a16="http://schemas.microsoft.com/office/drawing/2014/main" id="{6DEF6D07-7373-08BF-D38E-AC4574018969}"/>
                </a:ext>
              </a:extLst>
            </xdr:cNvPr>
            <xdr:cNvGrpSpPr/>
          </xdr:nvGrpSpPr>
          <xdr:grpSpPr>
            <a:xfrm>
              <a:off x="9489523" y="4112114"/>
              <a:ext cx="1034421" cy="963708"/>
              <a:chOff x="9522698" y="4282414"/>
              <a:chExt cx="1038845" cy="1012365"/>
            </a:xfrm>
          </xdr:grpSpPr>
          <xdr:sp macro="" textlink="">
            <xdr:nvSpPr>
              <xdr:cNvPr id="33" name="TextBox 32">
                <a:extLst>
                  <a:ext uri="{FF2B5EF4-FFF2-40B4-BE49-F238E27FC236}">
                    <a16:creationId xmlns:a16="http://schemas.microsoft.com/office/drawing/2014/main" id="{4F8E5752-9AD6-85C0-D24D-5D1024396AF7}"/>
                  </a:ext>
                </a:extLst>
              </xdr:cNvPr>
              <xdr:cNvSpPr txBox="1"/>
            </xdr:nvSpPr>
            <xdr:spPr>
              <a:xfrm>
                <a:off x="9522698" y="4282414"/>
                <a:ext cx="959091" cy="634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Kulim Park" pitchFamily="2" charset="0"/>
                  </a:rPr>
                  <a:t>part </a:t>
                </a:r>
              </a:p>
              <a:p>
                <a:r>
                  <a:rPr lang="en-IN" sz="1100">
                    <a:solidFill>
                      <a:schemeClr val="bg1"/>
                    </a:solidFill>
                    <a:latin typeface="Kulim Park" pitchFamily="2" charset="0"/>
                  </a:rPr>
                  <a:t>time</a:t>
                </a:r>
                <a:r>
                  <a:rPr lang="en-IN" sz="1100" baseline="0">
                    <a:solidFill>
                      <a:schemeClr val="bg1"/>
                    </a:solidFill>
                    <a:latin typeface="Kulim Park" pitchFamily="2" charset="0"/>
                  </a:rPr>
                  <a:t> </a:t>
                </a:r>
              </a:p>
              <a:p>
                <a:r>
                  <a:rPr lang="en-IN" sz="1100" baseline="0">
                    <a:solidFill>
                      <a:schemeClr val="bg1"/>
                    </a:solidFill>
                    <a:latin typeface="Kulim Park" pitchFamily="2" charset="0"/>
                  </a:rPr>
                  <a:t>employees</a:t>
                </a:r>
                <a:endParaRPr lang="en-IN" sz="1100">
                  <a:solidFill>
                    <a:schemeClr val="bg1"/>
                  </a:solidFill>
                  <a:latin typeface="Kulim Park" pitchFamily="2" charset="0"/>
                </a:endParaRPr>
              </a:p>
            </xdr:txBody>
          </xdr:sp>
          <xdr:sp macro="" textlink="pivottables!B11">
            <xdr:nvSpPr>
              <xdr:cNvPr id="9" name="TextBox 8">
                <a:extLst>
                  <a:ext uri="{FF2B5EF4-FFF2-40B4-BE49-F238E27FC236}">
                    <a16:creationId xmlns:a16="http://schemas.microsoft.com/office/drawing/2014/main" id="{BCC58F0A-D9D1-345F-82A3-6D37DBDC60EA}"/>
                  </a:ext>
                </a:extLst>
              </xdr:cNvPr>
              <xdr:cNvSpPr txBox="1"/>
            </xdr:nvSpPr>
            <xdr:spPr>
              <a:xfrm>
                <a:off x="9889190" y="4776507"/>
                <a:ext cx="672353" cy="518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923467-CE6A-4167-861D-27A355438FB8}" type="TxLink">
                  <a:rPr lang="en-US" sz="3200" b="0" i="0" u="none" strike="noStrike">
                    <a:solidFill>
                      <a:schemeClr val="bg1"/>
                    </a:solidFill>
                    <a:latin typeface="Kulim Park" pitchFamily="2" charset="0"/>
                  </a:rPr>
                  <a:pPr/>
                  <a:t>13</a:t>
                </a:fld>
                <a:endParaRPr lang="en-IN" sz="3200">
                  <a:solidFill>
                    <a:schemeClr val="bg1"/>
                  </a:solidFill>
                  <a:latin typeface="Kulim Park" pitchFamily="2" charset="0"/>
                </a:endParaRPr>
              </a:p>
            </xdr:txBody>
          </xdr:sp>
        </xdr:grpSp>
        <xdr:grpSp>
          <xdr:nvGrpSpPr>
            <xdr:cNvPr id="11" name="Group 10">
              <a:extLst>
                <a:ext uri="{FF2B5EF4-FFF2-40B4-BE49-F238E27FC236}">
                  <a16:creationId xmlns:a16="http://schemas.microsoft.com/office/drawing/2014/main" id="{9BBA820F-8CBB-E903-EA85-A451D4257C15}"/>
                </a:ext>
              </a:extLst>
            </xdr:cNvPr>
            <xdr:cNvGrpSpPr/>
          </xdr:nvGrpSpPr>
          <xdr:grpSpPr>
            <a:xfrm>
              <a:off x="9545552" y="5240075"/>
              <a:ext cx="1118466" cy="991723"/>
              <a:chOff x="9508690" y="4128333"/>
              <a:chExt cx="1122890" cy="1040380"/>
            </a:xfrm>
          </xdr:grpSpPr>
          <xdr:sp macro="" textlink="">
            <xdr:nvSpPr>
              <xdr:cNvPr id="12" name="TextBox 11">
                <a:extLst>
                  <a:ext uri="{FF2B5EF4-FFF2-40B4-BE49-F238E27FC236}">
                    <a16:creationId xmlns:a16="http://schemas.microsoft.com/office/drawing/2014/main" id="{B129F990-FC39-F8E5-4697-247C86713984}"/>
                  </a:ext>
                </a:extLst>
              </xdr:cNvPr>
              <xdr:cNvSpPr txBox="1"/>
            </xdr:nvSpPr>
            <xdr:spPr>
              <a:xfrm>
                <a:off x="9508690" y="4128333"/>
                <a:ext cx="959091" cy="7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Kulim Park" pitchFamily="2" charset="0"/>
                  </a:rPr>
                  <a:t>full </a:t>
                </a:r>
              </a:p>
              <a:p>
                <a:r>
                  <a:rPr lang="en-IN" sz="1100">
                    <a:solidFill>
                      <a:schemeClr val="bg1"/>
                    </a:solidFill>
                    <a:latin typeface="Kulim Park" pitchFamily="2" charset="0"/>
                  </a:rPr>
                  <a:t>time</a:t>
                </a:r>
                <a:r>
                  <a:rPr lang="en-IN" sz="1100" baseline="0">
                    <a:solidFill>
                      <a:schemeClr val="bg1"/>
                    </a:solidFill>
                    <a:latin typeface="Kulim Park" pitchFamily="2" charset="0"/>
                  </a:rPr>
                  <a:t> </a:t>
                </a:r>
              </a:p>
              <a:p>
                <a:r>
                  <a:rPr lang="en-IN" sz="1100" baseline="0">
                    <a:solidFill>
                      <a:schemeClr val="bg1"/>
                    </a:solidFill>
                    <a:latin typeface="Kulim Park" pitchFamily="2" charset="0"/>
                  </a:rPr>
                  <a:t>employees</a:t>
                </a:r>
                <a:endParaRPr lang="en-IN" sz="1100">
                  <a:solidFill>
                    <a:schemeClr val="bg1"/>
                  </a:solidFill>
                  <a:latin typeface="Kulim Park" pitchFamily="2" charset="0"/>
                </a:endParaRPr>
              </a:p>
            </xdr:txBody>
          </xdr:sp>
          <xdr:sp macro="" textlink="pivottables!B10">
            <xdr:nvSpPr>
              <xdr:cNvPr id="13" name="TextBox 12">
                <a:extLst>
                  <a:ext uri="{FF2B5EF4-FFF2-40B4-BE49-F238E27FC236}">
                    <a16:creationId xmlns:a16="http://schemas.microsoft.com/office/drawing/2014/main" id="{6244F733-DB92-8E5B-4F44-C05E3E0FE2CA}"/>
                  </a:ext>
                </a:extLst>
              </xdr:cNvPr>
              <xdr:cNvSpPr txBox="1"/>
            </xdr:nvSpPr>
            <xdr:spPr>
              <a:xfrm>
                <a:off x="9777132" y="4650441"/>
                <a:ext cx="854448" cy="518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641079-C2F2-49D0-8984-CD16C0050450}" type="TxLink">
                  <a:rPr lang="en-US" sz="3200" b="0" i="0" u="none" strike="noStrike">
                    <a:solidFill>
                      <a:schemeClr val="bg1"/>
                    </a:solidFill>
                    <a:latin typeface="Kulim Park" pitchFamily="2" charset="0"/>
                  </a:rPr>
                  <a:pPr/>
                  <a:t>20</a:t>
                </a:fld>
                <a:endParaRPr lang="en-IN" sz="3200">
                  <a:solidFill>
                    <a:schemeClr val="bg1"/>
                  </a:solidFill>
                  <a:latin typeface="Kulim Park" pitchFamily="2" charset="0"/>
                </a:endParaRPr>
              </a:p>
            </xdr:txBody>
          </xdr:sp>
        </xdr:grpSp>
        <xdr:grpSp>
          <xdr:nvGrpSpPr>
            <xdr:cNvPr id="15" name="Group 14">
              <a:extLst>
                <a:ext uri="{FF2B5EF4-FFF2-40B4-BE49-F238E27FC236}">
                  <a16:creationId xmlns:a16="http://schemas.microsoft.com/office/drawing/2014/main" id="{5DF3DF3B-9124-25BD-71DA-B7060D7C8A2D}"/>
                </a:ext>
              </a:extLst>
            </xdr:cNvPr>
            <xdr:cNvGrpSpPr/>
          </xdr:nvGrpSpPr>
          <xdr:grpSpPr>
            <a:xfrm>
              <a:off x="8123534" y="5287996"/>
              <a:ext cx="1080836" cy="971817"/>
              <a:chOff x="9468609" y="4156348"/>
              <a:chExt cx="1092934" cy="1012365"/>
            </a:xfrm>
          </xdr:grpSpPr>
          <xdr:sp macro="" textlink="">
            <xdr:nvSpPr>
              <xdr:cNvPr id="16" name="TextBox 15">
                <a:extLst>
                  <a:ext uri="{FF2B5EF4-FFF2-40B4-BE49-F238E27FC236}">
                    <a16:creationId xmlns:a16="http://schemas.microsoft.com/office/drawing/2014/main" id="{9AF420A7-F116-551E-C7C6-689279D585BA}"/>
                  </a:ext>
                </a:extLst>
              </xdr:cNvPr>
              <xdr:cNvSpPr txBox="1"/>
            </xdr:nvSpPr>
            <xdr:spPr>
              <a:xfrm>
                <a:off x="9468609" y="4156348"/>
                <a:ext cx="1055714" cy="7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bg1"/>
                    </a:solidFill>
                    <a:latin typeface="Kulim Park" pitchFamily="2" charset="0"/>
                  </a:rPr>
                  <a:t>employees</a:t>
                </a:r>
              </a:p>
              <a:p>
                <a:r>
                  <a:rPr lang="en-IN" sz="1100" baseline="0">
                    <a:solidFill>
                      <a:schemeClr val="bg1"/>
                    </a:solidFill>
                    <a:latin typeface="Kulim Park" pitchFamily="2" charset="0"/>
                  </a:rPr>
                  <a:t>with</a:t>
                </a:r>
              </a:p>
              <a:p>
                <a:r>
                  <a:rPr lang="en-IN" sz="1100" baseline="0">
                    <a:solidFill>
                      <a:schemeClr val="bg1"/>
                    </a:solidFill>
                    <a:latin typeface="Kulim Park" pitchFamily="2" charset="0"/>
                  </a:rPr>
                  <a:t>contracts</a:t>
                </a:r>
              </a:p>
              <a:p>
                <a:r>
                  <a:rPr lang="en-IN" sz="1100" baseline="0">
                    <a:solidFill>
                      <a:schemeClr val="bg1"/>
                    </a:solidFill>
                    <a:latin typeface="Kulim Park" pitchFamily="2" charset="0"/>
                  </a:rPr>
                  <a:t> </a:t>
                </a:r>
                <a:endParaRPr lang="en-IN" sz="1100">
                  <a:solidFill>
                    <a:schemeClr val="bg1"/>
                  </a:solidFill>
                  <a:latin typeface="Kulim Park" pitchFamily="2" charset="0"/>
                </a:endParaRPr>
              </a:p>
            </xdr:txBody>
          </xdr:sp>
          <xdr:sp macro="" textlink="pivottables!B9">
            <xdr:nvSpPr>
              <xdr:cNvPr id="17" name="TextBox 16">
                <a:extLst>
                  <a:ext uri="{FF2B5EF4-FFF2-40B4-BE49-F238E27FC236}">
                    <a16:creationId xmlns:a16="http://schemas.microsoft.com/office/drawing/2014/main" id="{CADDCE5A-EBF0-5012-A921-53190A63E3D5}"/>
                  </a:ext>
                </a:extLst>
              </xdr:cNvPr>
              <xdr:cNvSpPr txBox="1"/>
            </xdr:nvSpPr>
            <xdr:spPr>
              <a:xfrm>
                <a:off x="9889190" y="4650441"/>
                <a:ext cx="672353" cy="518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7EFF8D-B0BF-4F19-998C-F080C67CBD18}" type="TxLink">
                  <a:rPr lang="en-US" sz="3200" b="0" i="0" u="none" strike="noStrike">
                    <a:solidFill>
                      <a:schemeClr val="bg1"/>
                    </a:solidFill>
                    <a:latin typeface="Kulim Park" pitchFamily="2" charset="0"/>
                  </a:rPr>
                  <a:pPr/>
                  <a:t>17</a:t>
                </a:fld>
                <a:endParaRPr lang="en-IN" sz="3200">
                  <a:solidFill>
                    <a:schemeClr val="bg1"/>
                  </a:solidFill>
                  <a:latin typeface="Kulim Park" pitchFamily="2" charset="0"/>
                </a:endParaRPr>
              </a:p>
            </xdr:txBody>
          </xdr:sp>
        </xdr:grpSp>
        <xdr:sp macro="" textlink="">
          <xdr:nvSpPr>
            <xdr:cNvPr id="23" name="TextBox 22">
              <a:extLst>
                <a:ext uri="{FF2B5EF4-FFF2-40B4-BE49-F238E27FC236}">
                  <a16:creationId xmlns:a16="http://schemas.microsoft.com/office/drawing/2014/main" id="{F1F9CA10-05A1-A729-8ABB-76D3564E010C}"/>
                </a:ext>
              </a:extLst>
            </xdr:cNvPr>
            <xdr:cNvSpPr txBox="1"/>
          </xdr:nvSpPr>
          <xdr:spPr>
            <a:xfrm>
              <a:off x="5263081" y="5030701"/>
              <a:ext cx="1292368" cy="275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Kulim Park" pitchFamily="2" charset="0"/>
                </a:rPr>
                <a:t>Managers</a:t>
              </a:r>
            </a:p>
            <a:p>
              <a:endParaRPr lang="en-IN" sz="1100">
                <a:solidFill>
                  <a:schemeClr val="bg1"/>
                </a:solidFill>
                <a:latin typeface="Kulim Park" pitchFamily="2" charset="0"/>
              </a:endParaRPr>
            </a:p>
          </xdr:txBody>
        </xdr:sp>
        <xdr:sp macro="" textlink="">
          <xdr:nvSpPr>
            <xdr:cNvPr id="28" name="TextBox 27">
              <a:extLst>
                <a:ext uri="{FF2B5EF4-FFF2-40B4-BE49-F238E27FC236}">
                  <a16:creationId xmlns:a16="http://schemas.microsoft.com/office/drawing/2014/main" id="{88C67AD6-960D-9CC4-C7B7-BA81C2BBAAED}"/>
                </a:ext>
              </a:extLst>
            </xdr:cNvPr>
            <xdr:cNvSpPr txBox="1"/>
          </xdr:nvSpPr>
          <xdr:spPr>
            <a:xfrm>
              <a:off x="5263081" y="4477930"/>
              <a:ext cx="1292367" cy="361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bg1"/>
                  </a:solidFill>
                  <a:latin typeface="Kulim Park" pitchFamily="2" charset="0"/>
                  <a:ea typeface="+mn-ea"/>
                  <a:cs typeface="+mn-cs"/>
                </a:rPr>
                <a:t>Total salaries</a:t>
              </a:r>
            </a:p>
          </xdr:txBody>
        </xdr:sp>
        <xdr:sp macro="" textlink="">
          <xdr:nvSpPr>
            <xdr:cNvPr id="30" name="TextBox 29">
              <a:extLst>
                <a:ext uri="{FF2B5EF4-FFF2-40B4-BE49-F238E27FC236}">
                  <a16:creationId xmlns:a16="http://schemas.microsoft.com/office/drawing/2014/main" id="{4F885717-531B-C246-ECC6-640BDE9198BF}"/>
                </a:ext>
              </a:extLst>
            </xdr:cNvPr>
            <xdr:cNvSpPr txBox="1"/>
          </xdr:nvSpPr>
          <xdr:spPr>
            <a:xfrm>
              <a:off x="5263081" y="5636706"/>
              <a:ext cx="1192613" cy="409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Kulim Park" pitchFamily="2" charset="0"/>
                </a:rPr>
                <a:t>designer</a:t>
              </a:r>
            </a:p>
            <a:p>
              <a:endParaRPr lang="en-IN" sz="1100">
                <a:solidFill>
                  <a:schemeClr val="bg1"/>
                </a:solidFill>
                <a:latin typeface="Kulim Park" pitchFamily="2" charset="0"/>
              </a:endParaRPr>
            </a:p>
            <a:p>
              <a:endParaRPr lang="en-IN" sz="1100">
                <a:solidFill>
                  <a:schemeClr val="bg1"/>
                </a:solidFill>
                <a:latin typeface="Kulim Park" pitchFamily="2" charset="0"/>
              </a:endParaRPr>
            </a:p>
          </xdr:txBody>
        </xdr:sp>
        <xdr:sp macro="" textlink="">
          <xdr:nvSpPr>
            <xdr:cNvPr id="34" name="TextBox 33">
              <a:extLst>
                <a:ext uri="{FF2B5EF4-FFF2-40B4-BE49-F238E27FC236}">
                  <a16:creationId xmlns:a16="http://schemas.microsoft.com/office/drawing/2014/main" id="{927CE128-8F1A-90F7-7512-752196130B81}"/>
                </a:ext>
              </a:extLst>
            </xdr:cNvPr>
            <xdr:cNvSpPr txBox="1"/>
          </xdr:nvSpPr>
          <xdr:spPr>
            <a:xfrm>
              <a:off x="5263081" y="4725048"/>
              <a:ext cx="1622665" cy="2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Kulim Park" pitchFamily="2" charset="0"/>
                </a:rPr>
                <a:t>HR</a:t>
              </a:r>
              <a:r>
                <a:rPr lang="en-IN" sz="1100" baseline="0">
                  <a:solidFill>
                    <a:schemeClr val="bg1"/>
                  </a:solidFill>
                  <a:latin typeface="Kulim Park" pitchFamily="2" charset="0"/>
                </a:rPr>
                <a:t> specialists</a:t>
              </a:r>
              <a:endParaRPr lang="en-IN" sz="1100">
                <a:solidFill>
                  <a:schemeClr val="bg1"/>
                </a:solidFill>
                <a:latin typeface="Kulim Park" pitchFamily="2" charset="0"/>
              </a:endParaRPr>
            </a:p>
            <a:p>
              <a:endParaRPr lang="en-IN" sz="1100">
                <a:solidFill>
                  <a:schemeClr val="bg1"/>
                </a:solidFill>
                <a:latin typeface="Kulim Park" pitchFamily="2" charset="0"/>
              </a:endParaRPr>
            </a:p>
          </xdr:txBody>
        </xdr:sp>
        <xdr:sp macro="" textlink="">
          <xdr:nvSpPr>
            <xdr:cNvPr id="35" name="TextBox 34">
              <a:extLst>
                <a:ext uri="{FF2B5EF4-FFF2-40B4-BE49-F238E27FC236}">
                  <a16:creationId xmlns:a16="http://schemas.microsoft.com/office/drawing/2014/main" id="{DC78C8CD-5AB9-C4B6-6365-DE2EF81F1BF3}"/>
                </a:ext>
              </a:extLst>
            </xdr:cNvPr>
            <xdr:cNvSpPr txBox="1"/>
          </xdr:nvSpPr>
          <xdr:spPr>
            <a:xfrm>
              <a:off x="5263081" y="5311440"/>
              <a:ext cx="1772295" cy="347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Kulim Park" pitchFamily="2" charset="0"/>
                </a:rPr>
                <a:t>developer</a:t>
              </a:r>
            </a:p>
            <a:p>
              <a:endParaRPr lang="en-IN" sz="1100">
                <a:solidFill>
                  <a:schemeClr val="bg1"/>
                </a:solidFill>
                <a:latin typeface="Kulim Park" pitchFamily="2" charset="0"/>
              </a:endParaRPr>
            </a:p>
            <a:p>
              <a:endParaRPr lang="en-IN" sz="1100">
                <a:solidFill>
                  <a:schemeClr val="bg1"/>
                </a:solidFill>
                <a:latin typeface="Kulim Park" pitchFamily="2" charset="0"/>
              </a:endParaRPr>
            </a:p>
          </xdr:txBody>
        </xdr:sp>
        <xdr:sp macro="" textlink="">
          <xdr:nvSpPr>
            <xdr:cNvPr id="37" name="TextBox 36">
              <a:extLst>
                <a:ext uri="{FF2B5EF4-FFF2-40B4-BE49-F238E27FC236}">
                  <a16:creationId xmlns:a16="http://schemas.microsoft.com/office/drawing/2014/main" id="{C2BD9574-7B96-086D-39B7-630493AA0F73}"/>
                </a:ext>
              </a:extLst>
            </xdr:cNvPr>
            <xdr:cNvSpPr txBox="1"/>
          </xdr:nvSpPr>
          <xdr:spPr>
            <a:xfrm>
              <a:off x="5263081" y="5911840"/>
              <a:ext cx="1342243" cy="272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bg1"/>
                  </a:solidFill>
                  <a:latin typeface="Kulim Park" pitchFamily="2" charset="0"/>
                </a:rPr>
                <a:t>Analyst</a:t>
              </a:r>
              <a:endParaRPr lang="en-IN" sz="1100">
                <a:solidFill>
                  <a:schemeClr val="bg1"/>
                </a:solidFill>
                <a:latin typeface="Kulim Park" pitchFamily="2" charset="0"/>
              </a:endParaRPr>
            </a:p>
            <a:p>
              <a:endParaRPr lang="en-IN" sz="1100">
                <a:solidFill>
                  <a:schemeClr val="bg1"/>
                </a:solidFill>
                <a:latin typeface="Kulim Park" pitchFamily="2" charset="0"/>
              </a:endParaRPr>
            </a:p>
          </xdr:txBody>
        </xdr:sp>
        <xdr:sp macro="" textlink="pivottables!F15">
          <xdr:nvSpPr>
            <xdr:cNvPr id="39" name="TextBox 38">
              <a:extLst>
                <a:ext uri="{FF2B5EF4-FFF2-40B4-BE49-F238E27FC236}">
                  <a16:creationId xmlns:a16="http://schemas.microsoft.com/office/drawing/2014/main" id="{8AB81491-8573-45E6-AA7D-DC50EE25E5ED}"/>
                </a:ext>
              </a:extLst>
            </xdr:cNvPr>
            <xdr:cNvSpPr txBox="1"/>
          </xdr:nvSpPr>
          <xdr:spPr>
            <a:xfrm>
              <a:off x="6658816" y="4970258"/>
              <a:ext cx="1723898" cy="365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F3F5BF-123E-4F36-98A6-9DB853AF54C6}" type="TxLink">
                <a:rPr lang="en-US" sz="1400" b="0" i="0" u="none" strike="noStrike">
                  <a:solidFill>
                    <a:schemeClr val="bg1"/>
                  </a:solidFill>
                  <a:latin typeface="Kulim Park" pitchFamily="2" charset="0"/>
                </a:rPr>
                <a:pPr/>
                <a:t>₹ 7,31,170</a:t>
              </a:fld>
              <a:endParaRPr lang="en-IN" sz="1400">
                <a:solidFill>
                  <a:schemeClr val="bg1"/>
                </a:solidFill>
                <a:latin typeface="Kulim Park" pitchFamily="2" charset="0"/>
              </a:endParaRPr>
            </a:p>
          </xdr:txBody>
        </xdr:sp>
        <xdr:sp macro="" textlink="pivottables!F16">
          <xdr:nvSpPr>
            <xdr:cNvPr id="40" name="TextBox 39">
              <a:extLst>
                <a:ext uri="{FF2B5EF4-FFF2-40B4-BE49-F238E27FC236}">
                  <a16:creationId xmlns:a16="http://schemas.microsoft.com/office/drawing/2014/main" id="{44F5152A-AC87-4D78-9693-AD8E888C663F}"/>
                </a:ext>
              </a:extLst>
            </xdr:cNvPr>
            <xdr:cNvSpPr txBox="1"/>
          </xdr:nvSpPr>
          <xdr:spPr>
            <a:xfrm>
              <a:off x="6658816" y="4341845"/>
              <a:ext cx="1723322" cy="380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90E895-24C7-48A0-8E15-9C776139C60E}" type="TxLink">
                <a:rPr lang="en-US" sz="1400" b="1">
                  <a:solidFill>
                    <a:schemeClr val="tx1"/>
                  </a:solidFill>
                  <a:latin typeface="Kulim Park" pitchFamily="2" charset="0"/>
                  <a:ea typeface="+mn-ea"/>
                  <a:cs typeface="+mn-cs"/>
                </a:rPr>
                <a:pPr marL="0" indent="0"/>
                <a:t>₹ 31,04,913</a:t>
              </a:fld>
              <a:endParaRPr lang="en-IN" sz="1400" b="1">
                <a:solidFill>
                  <a:schemeClr val="tx1"/>
                </a:solidFill>
                <a:latin typeface="Kulim Park" pitchFamily="2" charset="0"/>
                <a:ea typeface="+mn-ea"/>
                <a:cs typeface="+mn-cs"/>
              </a:endParaRPr>
            </a:p>
          </xdr:txBody>
        </xdr:sp>
        <xdr:sp macro="" textlink="pivottables!F12">
          <xdr:nvSpPr>
            <xdr:cNvPr id="41" name="TextBox 40">
              <a:extLst>
                <a:ext uri="{FF2B5EF4-FFF2-40B4-BE49-F238E27FC236}">
                  <a16:creationId xmlns:a16="http://schemas.microsoft.com/office/drawing/2014/main" id="{26B1E587-FB89-4852-84A2-80D3160B3FA3}"/>
                </a:ext>
              </a:extLst>
            </xdr:cNvPr>
            <xdr:cNvSpPr txBox="1"/>
          </xdr:nvSpPr>
          <xdr:spPr>
            <a:xfrm>
              <a:off x="6658816" y="5584666"/>
              <a:ext cx="1590778" cy="431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736C07-E3D3-49AD-8215-85C3B6E11A4B}" type="TxLink">
                <a:rPr lang="en-US" sz="1400" b="0" i="0" u="none" strike="noStrike">
                  <a:solidFill>
                    <a:schemeClr val="bg1"/>
                  </a:solidFill>
                  <a:latin typeface="Kulim Park" pitchFamily="2" charset="0"/>
                </a:rPr>
                <a:pPr/>
                <a:t>₹ 6,13,842</a:t>
              </a:fld>
              <a:endParaRPr lang="en-IN" sz="1400">
                <a:solidFill>
                  <a:schemeClr val="bg1"/>
                </a:solidFill>
                <a:latin typeface="Kulim Park" pitchFamily="2" charset="0"/>
              </a:endParaRPr>
            </a:p>
          </xdr:txBody>
        </xdr:sp>
        <xdr:sp macro="" textlink="pivottables!F14">
          <xdr:nvSpPr>
            <xdr:cNvPr id="42" name="TextBox 41">
              <a:extLst>
                <a:ext uri="{FF2B5EF4-FFF2-40B4-BE49-F238E27FC236}">
                  <a16:creationId xmlns:a16="http://schemas.microsoft.com/office/drawing/2014/main" id="{453089D7-88F2-41D6-91FD-A17EF14ED0DD}"/>
                </a:ext>
              </a:extLst>
            </xdr:cNvPr>
            <xdr:cNvSpPr txBox="1"/>
          </xdr:nvSpPr>
          <xdr:spPr>
            <a:xfrm>
              <a:off x="6658816" y="4681117"/>
              <a:ext cx="2165411" cy="29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A6D7DA-FBFA-4CB7-B83A-B7550C3760E1}" type="TxLink">
                <a:rPr lang="en-US" sz="1400" b="0" i="0" u="none" strike="noStrike">
                  <a:solidFill>
                    <a:schemeClr val="bg1"/>
                  </a:solidFill>
                  <a:latin typeface="Kulim Park" pitchFamily="2" charset="0"/>
                  <a:ea typeface="+mn-ea"/>
                  <a:cs typeface="+mn-cs"/>
                </a:rPr>
                <a:pPr marL="0" indent="0"/>
                <a:t>₹ 9,59,266</a:t>
              </a:fld>
              <a:endParaRPr lang="en-IN" sz="1400" b="0" i="0" u="none" strike="noStrike">
                <a:solidFill>
                  <a:schemeClr val="bg1"/>
                </a:solidFill>
                <a:latin typeface="Kulim Park" pitchFamily="2" charset="0"/>
                <a:ea typeface="+mn-ea"/>
                <a:cs typeface="+mn-cs"/>
              </a:endParaRPr>
            </a:p>
          </xdr:txBody>
        </xdr:sp>
        <xdr:sp macro="" textlink="pivottables!F13">
          <xdr:nvSpPr>
            <xdr:cNvPr id="43" name="TextBox 42">
              <a:extLst>
                <a:ext uri="{FF2B5EF4-FFF2-40B4-BE49-F238E27FC236}">
                  <a16:creationId xmlns:a16="http://schemas.microsoft.com/office/drawing/2014/main" id="{0AF55DBB-82E1-4390-8ED1-5C0D3E5DE21D}"/>
                </a:ext>
              </a:extLst>
            </xdr:cNvPr>
            <xdr:cNvSpPr txBox="1"/>
          </xdr:nvSpPr>
          <xdr:spPr>
            <a:xfrm>
              <a:off x="6658816" y="5267509"/>
              <a:ext cx="2365089" cy="35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7C946F-4C83-44E3-BF4D-6308C112B4CC}" type="TxLink">
                <a:rPr lang="en-US" sz="1400" b="0" i="0" u="none" strike="noStrike">
                  <a:solidFill>
                    <a:schemeClr val="bg1"/>
                  </a:solidFill>
                  <a:latin typeface="Kulim Park" pitchFamily="2" charset="0"/>
                </a:rPr>
                <a:pPr/>
                <a:t>₹ 6,33,594</a:t>
              </a:fld>
              <a:endParaRPr lang="en-IN" sz="1400">
                <a:solidFill>
                  <a:schemeClr val="bg1"/>
                </a:solidFill>
                <a:latin typeface="Kulim Park" pitchFamily="2" charset="0"/>
              </a:endParaRPr>
            </a:p>
          </xdr:txBody>
        </xdr:sp>
        <xdr:sp macro="" textlink="pivottables!F11">
          <xdr:nvSpPr>
            <xdr:cNvPr id="44" name="TextBox 43">
              <a:extLst>
                <a:ext uri="{FF2B5EF4-FFF2-40B4-BE49-F238E27FC236}">
                  <a16:creationId xmlns:a16="http://schemas.microsoft.com/office/drawing/2014/main" id="{AA017659-0002-4FD1-9210-BB03FC07DAA4}"/>
                </a:ext>
              </a:extLst>
            </xdr:cNvPr>
            <xdr:cNvSpPr txBox="1"/>
          </xdr:nvSpPr>
          <xdr:spPr>
            <a:xfrm>
              <a:off x="6658816" y="5887814"/>
              <a:ext cx="1790455" cy="285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AEE993-C2DB-4C41-9D8D-5C73F958C4D2}" type="TxLink">
                <a:rPr lang="en-US" sz="1400" b="0" i="0" u="none" strike="noStrike" baseline="0">
                  <a:solidFill>
                    <a:schemeClr val="bg1"/>
                  </a:solidFill>
                  <a:latin typeface="Kulim Park" pitchFamily="2" charset="0"/>
                </a:rPr>
                <a:pPr/>
                <a:t>₹ 1,67,041</a:t>
              </a:fld>
              <a:endParaRPr lang="en-IN" sz="1400">
                <a:solidFill>
                  <a:schemeClr val="bg1"/>
                </a:solidFill>
                <a:latin typeface="Kulim Park" pitchFamily="2" charset="0"/>
              </a:endParaRPr>
            </a:p>
          </xdr:txBody>
        </xdr:sp>
        <xdr:sp macro="" textlink="">
          <xdr:nvSpPr>
            <xdr:cNvPr id="51" name="TextBox 50">
              <a:extLst>
                <a:ext uri="{FF2B5EF4-FFF2-40B4-BE49-F238E27FC236}">
                  <a16:creationId xmlns:a16="http://schemas.microsoft.com/office/drawing/2014/main" id="{BF811C71-7B48-6EBF-1A00-80EB96D59BB9}"/>
                </a:ext>
              </a:extLst>
            </xdr:cNvPr>
            <xdr:cNvSpPr txBox="1"/>
          </xdr:nvSpPr>
          <xdr:spPr>
            <a:xfrm>
              <a:off x="5341233" y="4045913"/>
              <a:ext cx="1248122" cy="277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IN" sz="1100">
                <a:solidFill>
                  <a:schemeClr val="bg1"/>
                </a:solidFill>
                <a:latin typeface="Kulim Park" pitchFamily="2" charset="0"/>
                <a:ea typeface="+mn-ea"/>
                <a:cs typeface="+mn-cs"/>
              </a:endParaRPr>
            </a:p>
            <a:p>
              <a:pPr marL="0" indent="0"/>
              <a:endParaRPr lang="en-IN" sz="1100">
                <a:solidFill>
                  <a:schemeClr val="bg1"/>
                </a:solidFill>
                <a:latin typeface="Kulim Park" pitchFamily="2" charset="0"/>
                <a:ea typeface="+mn-ea"/>
                <a:cs typeface="+mn-cs"/>
              </a:endParaRPr>
            </a:p>
          </xdr:txBody>
        </xdr:sp>
        <xdr:sp macro="" textlink="">
          <xdr:nvSpPr>
            <xdr:cNvPr id="54" name="TextBox 53">
              <a:extLst>
                <a:ext uri="{FF2B5EF4-FFF2-40B4-BE49-F238E27FC236}">
                  <a16:creationId xmlns:a16="http://schemas.microsoft.com/office/drawing/2014/main" id="{A410EA2E-9866-546D-6B40-AE0F4E4F6310}"/>
                </a:ext>
              </a:extLst>
            </xdr:cNvPr>
            <xdr:cNvSpPr txBox="1"/>
          </xdr:nvSpPr>
          <xdr:spPr>
            <a:xfrm>
              <a:off x="5249072" y="4135854"/>
              <a:ext cx="1954393" cy="244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tx1">
                      <a:lumMod val="65000"/>
                      <a:lumOff val="35000"/>
                    </a:schemeClr>
                  </a:solidFill>
                  <a:latin typeface="Kulim Park" pitchFamily="2" charset="0"/>
                  <a:ea typeface="+mn-ea"/>
                  <a:cs typeface="+mn-cs"/>
                </a:rPr>
                <a:t>salary</a:t>
              </a:r>
              <a:r>
                <a:rPr lang="en-IN" sz="1100" baseline="0">
                  <a:solidFill>
                    <a:schemeClr val="tx1">
                      <a:lumMod val="65000"/>
                      <a:lumOff val="35000"/>
                    </a:schemeClr>
                  </a:solidFill>
                  <a:latin typeface="Kulim Park" pitchFamily="2" charset="0"/>
                  <a:ea typeface="+mn-ea"/>
                  <a:cs typeface="+mn-cs"/>
                </a:rPr>
                <a:t> amount by job titles</a:t>
              </a:r>
              <a:endParaRPr lang="en-IN" sz="1100">
                <a:solidFill>
                  <a:schemeClr val="tx1">
                    <a:lumMod val="65000"/>
                    <a:lumOff val="35000"/>
                  </a:schemeClr>
                </a:solidFill>
                <a:latin typeface="Kulim Park" pitchFamily="2" charset="0"/>
                <a:ea typeface="+mn-ea"/>
                <a:cs typeface="+mn-cs"/>
              </a:endParaRPr>
            </a:p>
            <a:p>
              <a:pPr marL="0" indent="0"/>
              <a:endParaRPr lang="en-IN" sz="1100">
                <a:solidFill>
                  <a:schemeClr val="bg1"/>
                </a:solidFill>
                <a:latin typeface="Kulim Park" pitchFamily="2" charset="0"/>
                <a:ea typeface="+mn-ea"/>
                <a:cs typeface="+mn-cs"/>
              </a:endParaRPr>
            </a:p>
          </xdr:txBody>
        </xdr:sp>
        <xdr:sp macro="" textlink="">
          <xdr:nvSpPr>
            <xdr:cNvPr id="55" name="TextBox 54">
              <a:extLst>
                <a:ext uri="{FF2B5EF4-FFF2-40B4-BE49-F238E27FC236}">
                  <a16:creationId xmlns:a16="http://schemas.microsoft.com/office/drawing/2014/main" id="{8345933B-965A-A484-2663-3725A7F7F95E}"/>
                </a:ext>
              </a:extLst>
            </xdr:cNvPr>
            <xdr:cNvSpPr txBox="1"/>
          </xdr:nvSpPr>
          <xdr:spPr>
            <a:xfrm>
              <a:off x="5305101" y="3885934"/>
              <a:ext cx="1492152" cy="347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rgbClr val="E5B244"/>
                  </a:solidFill>
                  <a:latin typeface="Kulim Park" pitchFamily="2" charset="0"/>
                  <a:ea typeface="+mn-ea"/>
                  <a:cs typeface="+mn-cs"/>
                </a:rPr>
                <a:t> Salaries</a:t>
              </a:r>
            </a:p>
          </xdr:txBody>
        </xdr:sp>
        <xdr:sp macro="" textlink="">
          <xdr:nvSpPr>
            <xdr:cNvPr id="56" name="TextBox 55">
              <a:extLst>
                <a:ext uri="{FF2B5EF4-FFF2-40B4-BE49-F238E27FC236}">
                  <a16:creationId xmlns:a16="http://schemas.microsoft.com/office/drawing/2014/main" id="{AFBEC494-6FFA-0ABC-5CC5-D4C009553D9D}"/>
                </a:ext>
              </a:extLst>
            </xdr:cNvPr>
            <xdr:cNvSpPr txBox="1"/>
          </xdr:nvSpPr>
          <xdr:spPr>
            <a:xfrm>
              <a:off x="7831584" y="3787882"/>
              <a:ext cx="2790412" cy="272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solidFill>
                    <a:srgbClr val="E5B244"/>
                  </a:solidFill>
                  <a:latin typeface="Kulim Park" pitchFamily="2" charset="0"/>
                  <a:ea typeface="+mn-ea"/>
                  <a:cs typeface="+mn-cs"/>
                </a:rPr>
                <a:t>Employment</a:t>
              </a:r>
              <a:r>
                <a:rPr lang="en-IN" sz="1400" baseline="0">
                  <a:solidFill>
                    <a:srgbClr val="E5B244"/>
                  </a:solidFill>
                  <a:latin typeface="Kulim Park" pitchFamily="2" charset="0"/>
                  <a:ea typeface="+mn-ea"/>
                  <a:cs typeface="+mn-cs"/>
                </a:rPr>
                <a:t> status Breakdown</a:t>
              </a:r>
              <a:endParaRPr lang="en-IN" sz="1400">
                <a:solidFill>
                  <a:srgbClr val="E5B244"/>
                </a:solidFill>
                <a:latin typeface="Kulim Park" pitchFamily="2" charset="0"/>
                <a:ea typeface="+mn-ea"/>
                <a:cs typeface="+mn-cs"/>
              </a:endParaRPr>
            </a:p>
          </xdr:txBody>
        </xdr:sp>
        <xdr:graphicFrame macro="">
          <xdr:nvGraphicFramePr>
            <xdr:cNvPr id="57" name="Chart 56">
              <a:extLst>
                <a:ext uri="{FF2B5EF4-FFF2-40B4-BE49-F238E27FC236}">
                  <a16:creationId xmlns:a16="http://schemas.microsoft.com/office/drawing/2014/main" id="{E4384812-44CA-4DFC-BE72-CC60A1DB595F}"/>
                </a:ext>
              </a:extLst>
            </xdr:cNvPr>
            <xdr:cNvGraphicFramePr>
              <a:graphicFrameLocks/>
            </xdr:cNvGraphicFramePr>
          </xdr:nvGraphicFramePr>
          <xdr:xfrm>
            <a:off x="7649489" y="3989883"/>
            <a:ext cx="1982410" cy="124002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8" name="Oval 57">
              <a:extLst>
                <a:ext uri="{FF2B5EF4-FFF2-40B4-BE49-F238E27FC236}">
                  <a16:creationId xmlns:a16="http://schemas.microsoft.com/office/drawing/2014/main" id="{8B44BEAE-85BF-C43C-8FB0-72FFB71B3FFA}"/>
                </a:ext>
              </a:extLst>
            </xdr:cNvPr>
            <xdr:cNvSpPr/>
          </xdr:nvSpPr>
          <xdr:spPr>
            <a:xfrm>
              <a:off x="10274026" y="4129957"/>
              <a:ext cx="179883" cy="18799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Oval 59">
              <a:extLst>
                <a:ext uri="{FF2B5EF4-FFF2-40B4-BE49-F238E27FC236}">
                  <a16:creationId xmlns:a16="http://schemas.microsoft.com/office/drawing/2014/main" id="{AE72FC93-FEB4-BAA5-2736-14E10A156CF5}"/>
                </a:ext>
              </a:extLst>
            </xdr:cNvPr>
            <xdr:cNvSpPr/>
          </xdr:nvSpPr>
          <xdr:spPr>
            <a:xfrm>
              <a:off x="10288033" y="5257918"/>
              <a:ext cx="179883" cy="187994"/>
            </a:xfrm>
            <a:prstGeom prst="ellipse">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Oval 60">
              <a:extLst>
                <a:ext uri="{FF2B5EF4-FFF2-40B4-BE49-F238E27FC236}">
                  <a16:creationId xmlns:a16="http://schemas.microsoft.com/office/drawing/2014/main" id="{BBCC115F-BD04-5C99-FA43-7395BAB7402A}"/>
                </a:ext>
              </a:extLst>
            </xdr:cNvPr>
            <xdr:cNvSpPr/>
          </xdr:nvSpPr>
          <xdr:spPr>
            <a:xfrm>
              <a:off x="8961758" y="5305839"/>
              <a:ext cx="182095" cy="187993"/>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2" name="Chart 61">
              <a:extLst>
                <a:ext uri="{FF2B5EF4-FFF2-40B4-BE49-F238E27FC236}">
                  <a16:creationId xmlns:a16="http://schemas.microsoft.com/office/drawing/2014/main" id="{2D162528-5C3A-4756-B3E7-E78AF58BA70E}"/>
                </a:ext>
              </a:extLst>
            </xdr:cNvPr>
            <xdr:cNvGraphicFramePr>
              <a:graphicFrameLocks/>
            </xdr:cNvGraphicFramePr>
          </xdr:nvGraphicFramePr>
          <xdr:xfrm>
            <a:off x="2666557" y="4539856"/>
            <a:ext cx="2470456" cy="178999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3" name="TextBox 62">
              <a:extLst>
                <a:ext uri="{FF2B5EF4-FFF2-40B4-BE49-F238E27FC236}">
                  <a16:creationId xmlns:a16="http://schemas.microsoft.com/office/drawing/2014/main" id="{6D987208-8B16-47A9-4AD6-8C3C953DB54C}"/>
                </a:ext>
              </a:extLst>
            </xdr:cNvPr>
            <xdr:cNvSpPr txBox="1"/>
          </xdr:nvSpPr>
          <xdr:spPr>
            <a:xfrm>
              <a:off x="2736594" y="4073929"/>
              <a:ext cx="1679619" cy="276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E5B244"/>
                  </a:solidFill>
                  <a:latin typeface="Kulim Park" pitchFamily="2" charset="0"/>
                </a:rPr>
                <a:t> Age range</a:t>
              </a:r>
            </a:p>
          </xdr:txBody>
        </xdr:sp>
        <xdr:graphicFrame macro="">
          <xdr:nvGraphicFramePr>
            <xdr:cNvPr id="64" name="Chart 63">
              <a:extLst>
                <a:ext uri="{FF2B5EF4-FFF2-40B4-BE49-F238E27FC236}">
                  <a16:creationId xmlns:a16="http://schemas.microsoft.com/office/drawing/2014/main" id="{161B9CA5-4091-4835-B174-BA38C04B1E6F}"/>
                </a:ext>
              </a:extLst>
            </xdr:cNvPr>
            <xdr:cNvGraphicFramePr>
              <a:graphicFrameLocks/>
            </xdr:cNvGraphicFramePr>
          </xdr:nvGraphicFramePr>
          <xdr:xfrm>
            <a:off x="670141" y="4783879"/>
            <a:ext cx="1710077" cy="67374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5" name="Chart 64">
              <a:extLst>
                <a:ext uri="{FF2B5EF4-FFF2-40B4-BE49-F238E27FC236}">
                  <a16:creationId xmlns:a16="http://schemas.microsoft.com/office/drawing/2014/main" id="{DC702165-0874-4CA5-A0A1-DBF72EB8941F}"/>
                </a:ext>
              </a:extLst>
            </xdr:cNvPr>
            <xdr:cNvGraphicFramePr>
              <a:graphicFrameLocks/>
            </xdr:cNvGraphicFramePr>
          </xdr:nvGraphicFramePr>
          <xdr:xfrm>
            <a:off x="670141" y="5291376"/>
            <a:ext cx="1592415" cy="71077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6" name="Chart 65">
              <a:extLst>
                <a:ext uri="{FF2B5EF4-FFF2-40B4-BE49-F238E27FC236}">
                  <a16:creationId xmlns:a16="http://schemas.microsoft.com/office/drawing/2014/main" id="{9A49D337-0B5C-45D6-9D78-73407FAEF578}"/>
                </a:ext>
              </a:extLst>
            </xdr:cNvPr>
            <xdr:cNvGraphicFramePr>
              <a:graphicFrameLocks/>
            </xdr:cNvGraphicFramePr>
          </xdr:nvGraphicFramePr>
          <xdr:xfrm>
            <a:off x="670141" y="5827796"/>
            <a:ext cx="2077100" cy="62000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7" name="TextBox 66">
              <a:extLst>
                <a:ext uri="{FF2B5EF4-FFF2-40B4-BE49-F238E27FC236}">
                  <a16:creationId xmlns:a16="http://schemas.microsoft.com/office/drawing/2014/main" id="{EC942C90-9F5D-25AA-074B-3D4D75DF532B}"/>
                </a:ext>
              </a:extLst>
            </xdr:cNvPr>
            <xdr:cNvSpPr txBox="1"/>
          </xdr:nvSpPr>
          <xdr:spPr>
            <a:xfrm>
              <a:off x="588310" y="4739054"/>
              <a:ext cx="1938175" cy="288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chemeClr val="bg1">
                      <a:lumMod val="95000"/>
                    </a:schemeClr>
                  </a:solidFill>
                  <a:effectLst/>
                  <a:latin typeface="Kulim Park" pitchFamily="2" charset="0"/>
                  <a:ea typeface="+mn-ea"/>
                  <a:cs typeface="+mn-cs"/>
                </a:rPr>
                <a:t>  Branch Office</a:t>
              </a:r>
              <a:r>
                <a:rPr lang="en-IN" sz="1200">
                  <a:solidFill>
                    <a:schemeClr val="bg1">
                      <a:lumMod val="95000"/>
                    </a:schemeClr>
                  </a:solidFill>
                  <a:latin typeface="Kulim Park" pitchFamily="2" charset="0"/>
                </a:rPr>
                <a:t> </a:t>
              </a:r>
            </a:p>
            <a:p>
              <a:endParaRPr lang="en-IN" sz="1100">
                <a:solidFill>
                  <a:schemeClr val="bg1">
                    <a:lumMod val="95000"/>
                  </a:schemeClr>
                </a:solidFill>
                <a:latin typeface="Kulim Park" pitchFamily="2" charset="0"/>
              </a:endParaRPr>
            </a:p>
            <a:p>
              <a:endParaRPr lang="en-IN" sz="1100">
                <a:solidFill>
                  <a:schemeClr val="bg1">
                    <a:lumMod val="95000"/>
                  </a:schemeClr>
                </a:solidFill>
                <a:latin typeface="Kulim Park" pitchFamily="2" charset="0"/>
              </a:endParaRPr>
            </a:p>
          </xdr:txBody>
        </xdr:sp>
        <xdr:sp macro="" textlink="">
          <xdr:nvSpPr>
            <xdr:cNvPr id="68" name="TextBox 67">
              <a:extLst>
                <a:ext uri="{FF2B5EF4-FFF2-40B4-BE49-F238E27FC236}">
                  <a16:creationId xmlns:a16="http://schemas.microsoft.com/office/drawing/2014/main" id="{7D4F0C6D-EACD-4C5C-3E30-0C5293CF9938}"/>
                </a:ext>
              </a:extLst>
            </xdr:cNvPr>
            <xdr:cNvSpPr txBox="1"/>
          </xdr:nvSpPr>
          <xdr:spPr>
            <a:xfrm>
              <a:off x="588310" y="5257919"/>
              <a:ext cx="1772296" cy="381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Kulim Park" pitchFamily="2" charset="0"/>
                </a:rPr>
                <a:t> Head</a:t>
              </a:r>
              <a:r>
                <a:rPr lang="en-IN" sz="1200" baseline="0">
                  <a:solidFill>
                    <a:schemeClr val="bg1"/>
                  </a:solidFill>
                  <a:latin typeface="Kulim Park" pitchFamily="2" charset="0"/>
                </a:rPr>
                <a:t> office</a:t>
              </a:r>
              <a:endParaRPr lang="en-IN" sz="1200">
                <a:solidFill>
                  <a:schemeClr val="bg1"/>
                </a:solidFill>
                <a:latin typeface="Kulim Park" pitchFamily="2" charset="0"/>
              </a:endParaRPr>
            </a:p>
            <a:p>
              <a:endParaRPr lang="en-IN" sz="1100">
                <a:solidFill>
                  <a:schemeClr val="bg1"/>
                </a:solidFill>
                <a:latin typeface="Kulim Park" pitchFamily="2" charset="0"/>
              </a:endParaRPr>
            </a:p>
          </xdr:txBody>
        </xdr:sp>
        <xdr:sp macro="" textlink="">
          <xdr:nvSpPr>
            <xdr:cNvPr id="69" name="TextBox 68">
              <a:extLst>
                <a:ext uri="{FF2B5EF4-FFF2-40B4-BE49-F238E27FC236}">
                  <a16:creationId xmlns:a16="http://schemas.microsoft.com/office/drawing/2014/main" id="{1CBA5F15-C0AD-A253-12BD-528E77F8E01D}"/>
                </a:ext>
              </a:extLst>
            </xdr:cNvPr>
            <xdr:cNvSpPr txBox="1"/>
          </xdr:nvSpPr>
          <xdr:spPr>
            <a:xfrm>
              <a:off x="588310" y="5743456"/>
              <a:ext cx="1772296" cy="34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Kulim Park" pitchFamily="2" charset="0"/>
                </a:rPr>
                <a:t> Remote</a:t>
              </a:r>
            </a:p>
            <a:p>
              <a:endParaRPr lang="en-IN" sz="1100">
                <a:solidFill>
                  <a:schemeClr val="bg1"/>
                </a:solidFill>
                <a:latin typeface="Kulim Park" pitchFamily="2" charset="0"/>
              </a:endParaRPr>
            </a:p>
          </xdr:txBody>
        </xdr:sp>
        <xdr:sp macro="" textlink="pivottables!P10">
          <xdr:nvSpPr>
            <xdr:cNvPr id="70" name="TextBox 69">
              <a:extLst>
                <a:ext uri="{FF2B5EF4-FFF2-40B4-BE49-F238E27FC236}">
                  <a16:creationId xmlns:a16="http://schemas.microsoft.com/office/drawing/2014/main" id="{E229EB9A-CF9A-51B8-70FE-E4852904B060}"/>
                </a:ext>
              </a:extLst>
            </xdr:cNvPr>
            <xdr:cNvSpPr txBox="1"/>
          </xdr:nvSpPr>
          <xdr:spPr>
            <a:xfrm>
              <a:off x="1926381" y="4957866"/>
              <a:ext cx="448234" cy="333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72941A-7EC9-471F-A159-2D8FB85869BE}" type="TxLink">
                <a:rPr lang="en-US" sz="1100" b="1" i="0" u="none" strike="noStrike">
                  <a:solidFill>
                    <a:schemeClr val="bg1">
                      <a:lumMod val="95000"/>
                    </a:schemeClr>
                  </a:solidFill>
                  <a:effectLst/>
                  <a:latin typeface="Aptos Narrow"/>
                  <a:ea typeface="+mn-ea"/>
                  <a:cs typeface="+mn-cs"/>
                </a:rPr>
                <a:pPr/>
                <a:t>46%</a:t>
              </a:fld>
              <a:endParaRPr lang="en-IN" sz="1100">
                <a:solidFill>
                  <a:schemeClr val="bg1">
                    <a:lumMod val="95000"/>
                  </a:schemeClr>
                </a:solidFill>
                <a:latin typeface="Kulim Park" pitchFamily="2" charset="0"/>
              </a:endParaRPr>
            </a:p>
          </xdr:txBody>
        </xdr:sp>
        <xdr:sp macro="" textlink="pivottables!P11">
          <xdr:nvSpPr>
            <xdr:cNvPr id="71" name="TextBox 70">
              <a:extLst>
                <a:ext uri="{FF2B5EF4-FFF2-40B4-BE49-F238E27FC236}">
                  <a16:creationId xmlns:a16="http://schemas.microsoft.com/office/drawing/2014/main" id="{8DEB52E1-A41D-7613-78E7-4CABC9631961}"/>
                </a:ext>
              </a:extLst>
            </xdr:cNvPr>
            <xdr:cNvSpPr txBox="1"/>
          </xdr:nvSpPr>
          <xdr:spPr>
            <a:xfrm>
              <a:off x="1926381" y="5431905"/>
              <a:ext cx="462241" cy="319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95CBFE-9CDF-4ECB-853E-E9E00973B5EA}" type="TxLink">
                <a:rPr lang="en-US" sz="1100" b="1" i="0" u="none" strike="noStrike">
                  <a:solidFill>
                    <a:schemeClr val="bg1">
                      <a:lumMod val="95000"/>
                    </a:schemeClr>
                  </a:solidFill>
                  <a:effectLst/>
                  <a:latin typeface="Aptos Narrow"/>
                  <a:ea typeface="+mn-ea"/>
                  <a:cs typeface="+mn-cs"/>
                </a:rPr>
                <a:pPr/>
                <a:t>16%</a:t>
              </a:fld>
              <a:endParaRPr lang="en-IN" sz="1100">
                <a:solidFill>
                  <a:schemeClr val="bg1">
                    <a:lumMod val="95000"/>
                  </a:schemeClr>
                </a:solidFill>
                <a:latin typeface="Kulim Park" pitchFamily="2" charset="0"/>
              </a:endParaRPr>
            </a:p>
          </xdr:txBody>
        </xdr:sp>
        <xdr:sp macro="" textlink="pivottables!P12">
          <xdr:nvSpPr>
            <xdr:cNvPr id="72" name="TextBox 71">
              <a:extLst>
                <a:ext uri="{FF2B5EF4-FFF2-40B4-BE49-F238E27FC236}">
                  <a16:creationId xmlns:a16="http://schemas.microsoft.com/office/drawing/2014/main" id="{CBB3283F-8D81-D287-04C6-4F0DDE215228}"/>
                </a:ext>
              </a:extLst>
            </xdr:cNvPr>
            <xdr:cNvSpPr txBox="1"/>
          </xdr:nvSpPr>
          <xdr:spPr>
            <a:xfrm>
              <a:off x="2024435" y="5967871"/>
              <a:ext cx="474034" cy="305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0AE4F7-E07B-41DE-B681-0B8AF9C67A5E}" type="TxLink">
                <a:rPr lang="en-US" sz="1100" b="1" i="0" u="none" strike="noStrike">
                  <a:solidFill>
                    <a:schemeClr val="bg1">
                      <a:lumMod val="95000"/>
                    </a:schemeClr>
                  </a:solidFill>
                  <a:latin typeface="Aptos Narrow"/>
                </a:rPr>
                <a:pPr/>
                <a:t>38%</a:t>
              </a:fld>
              <a:endParaRPr lang="en-IN" sz="1100">
                <a:solidFill>
                  <a:schemeClr val="bg1">
                    <a:lumMod val="95000"/>
                  </a:schemeClr>
                </a:solidFill>
                <a:latin typeface="Kulim Park" pitchFamily="2" charset="0"/>
              </a:endParaRPr>
            </a:p>
          </xdr:txBody>
        </xdr:sp>
        <xdr:sp macro="" textlink="">
          <xdr:nvSpPr>
            <xdr:cNvPr id="75" name="TextBox 74">
              <a:extLst>
                <a:ext uri="{FF2B5EF4-FFF2-40B4-BE49-F238E27FC236}">
                  <a16:creationId xmlns:a16="http://schemas.microsoft.com/office/drawing/2014/main" id="{86216E4C-4E0B-3090-E904-4FF0E444D15D}"/>
                </a:ext>
              </a:extLst>
            </xdr:cNvPr>
            <xdr:cNvSpPr txBox="1"/>
          </xdr:nvSpPr>
          <xdr:spPr>
            <a:xfrm>
              <a:off x="1270247" y="4551059"/>
              <a:ext cx="1410318" cy="24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rgbClr val="E5B244"/>
                  </a:solidFill>
                  <a:effectLst/>
                  <a:latin typeface="Kulim Park" pitchFamily="2" charset="0"/>
                  <a:ea typeface="+mn-ea"/>
                  <a:cs typeface="+mn-cs"/>
                </a:rPr>
                <a:t>Work</a:t>
              </a:r>
              <a:r>
                <a:rPr lang="en-IN" sz="1200" b="0" i="0" u="none" strike="noStrike" baseline="0">
                  <a:solidFill>
                    <a:srgbClr val="E5B244"/>
                  </a:solidFill>
                  <a:effectLst/>
                  <a:latin typeface="Kulim Park" pitchFamily="2" charset="0"/>
                  <a:ea typeface="+mn-ea"/>
                  <a:cs typeface="+mn-cs"/>
                </a:rPr>
                <a:t> location</a:t>
              </a:r>
              <a:endParaRPr lang="en-IN" sz="1200">
                <a:solidFill>
                  <a:srgbClr val="E5B244"/>
                </a:solidFill>
                <a:latin typeface="Kulim Park" pitchFamily="2" charset="0"/>
              </a:endParaRPr>
            </a:p>
            <a:p>
              <a:endParaRPr lang="en-IN" sz="1100">
                <a:solidFill>
                  <a:schemeClr val="bg1">
                    <a:lumMod val="95000"/>
                  </a:schemeClr>
                </a:solidFill>
                <a:latin typeface="Kulim Park" pitchFamily="2" charset="0"/>
              </a:endParaRPr>
            </a:p>
            <a:p>
              <a:endParaRPr lang="en-IN" sz="1100">
                <a:solidFill>
                  <a:schemeClr val="bg1">
                    <a:lumMod val="95000"/>
                  </a:schemeClr>
                </a:solidFill>
                <a:latin typeface="Kulim Park" pitchFamily="2" charset="0"/>
              </a:endParaRPr>
            </a:p>
          </xdr:txBody>
        </xdr:sp>
        <xdr:sp macro="" textlink="">
          <xdr:nvSpPr>
            <xdr:cNvPr id="76" name="TextBox 75">
              <a:extLst>
                <a:ext uri="{FF2B5EF4-FFF2-40B4-BE49-F238E27FC236}">
                  <a16:creationId xmlns:a16="http://schemas.microsoft.com/office/drawing/2014/main" id="{C7208AA7-AB16-46B4-912D-628FB5A56722}"/>
                </a:ext>
              </a:extLst>
            </xdr:cNvPr>
            <xdr:cNvSpPr txBox="1"/>
          </xdr:nvSpPr>
          <xdr:spPr>
            <a:xfrm>
              <a:off x="588309" y="3139562"/>
              <a:ext cx="1290157" cy="275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Kulim Park" pitchFamily="2" charset="0"/>
                </a:rPr>
                <a:t> Design</a:t>
              </a:r>
            </a:p>
            <a:p>
              <a:endParaRPr lang="en-IN" sz="1200">
                <a:solidFill>
                  <a:schemeClr val="bg1"/>
                </a:solidFill>
                <a:latin typeface="Kulim Park" pitchFamily="2" charset="0"/>
              </a:endParaRPr>
            </a:p>
          </xdr:txBody>
        </xdr:sp>
        <xdr:sp macro="" textlink="">
          <xdr:nvSpPr>
            <xdr:cNvPr id="77" name="TextBox 76">
              <a:extLst>
                <a:ext uri="{FF2B5EF4-FFF2-40B4-BE49-F238E27FC236}">
                  <a16:creationId xmlns:a16="http://schemas.microsoft.com/office/drawing/2014/main" id="{8AEFA80D-5EA7-429D-9351-E0DC63440C62}"/>
                </a:ext>
              </a:extLst>
            </xdr:cNvPr>
            <xdr:cNvSpPr txBox="1"/>
          </xdr:nvSpPr>
          <xdr:spPr>
            <a:xfrm>
              <a:off x="588309" y="3745567"/>
              <a:ext cx="1192614" cy="314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Kulim Park" pitchFamily="2" charset="0"/>
                </a:rPr>
                <a:t> Management</a:t>
              </a:r>
            </a:p>
            <a:p>
              <a:endParaRPr lang="en-IN" sz="1200">
                <a:solidFill>
                  <a:schemeClr val="bg1"/>
                </a:solidFill>
                <a:latin typeface="Kulim Park" pitchFamily="2" charset="0"/>
              </a:endParaRPr>
            </a:p>
          </xdr:txBody>
        </xdr:sp>
        <xdr:sp macro="" textlink="">
          <xdr:nvSpPr>
            <xdr:cNvPr id="78" name="TextBox 77">
              <a:extLst>
                <a:ext uri="{FF2B5EF4-FFF2-40B4-BE49-F238E27FC236}">
                  <a16:creationId xmlns:a16="http://schemas.microsoft.com/office/drawing/2014/main" id="{B8B4368C-59E4-4A62-A5D3-4E268D313A26}"/>
                </a:ext>
              </a:extLst>
            </xdr:cNvPr>
            <xdr:cNvSpPr txBox="1"/>
          </xdr:nvSpPr>
          <xdr:spPr>
            <a:xfrm>
              <a:off x="588309" y="2833909"/>
              <a:ext cx="1622666" cy="2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Kulim Park" pitchFamily="2" charset="0"/>
                </a:rPr>
                <a:t> Communication</a:t>
              </a:r>
            </a:p>
            <a:p>
              <a:endParaRPr lang="en-IN" sz="1200">
                <a:solidFill>
                  <a:schemeClr val="bg1"/>
                </a:solidFill>
                <a:latin typeface="Kulim Park" pitchFamily="2" charset="0"/>
              </a:endParaRPr>
            </a:p>
          </xdr:txBody>
        </xdr:sp>
        <xdr:sp macro="" textlink="">
          <xdr:nvSpPr>
            <xdr:cNvPr id="79" name="TextBox 78">
              <a:extLst>
                <a:ext uri="{FF2B5EF4-FFF2-40B4-BE49-F238E27FC236}">
                  <a16:creationId xmlns:a16="http://schemas.microsoft.com/office/drawing/2014/main" id="{503CA02B-6D75-4658-AFAC-F03A098473B0}"/>
                </a:ext>
              </a:extLst>
            </xdr:cNvPr>
            <xdr:cNvSpPr txBox="1"/>
          </xdr:nvSpPr>
          <xdr:spPr>
            <a:xfrm>
              <a:off x="588309" y="3420301"/>
              <a:ext cx="1772296" cy="34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Kulim Park" pitchFamily="2" charset="0"/>
                </a:rPr>
                <a:t> Excel</a:t>
              </a:r>
            </a:p>
            <a:p>
              <a:endParaRPr lang="en-IN" sz="1200">
                <a:solidFill>
                  <a:schemeClr val="bg1"/>
                </a:solidFill>
                <a:latin typeface="Kulim Park" pitchFamily="2" charset="0"/>
              </a:endParaRPr>
            </a:p>
            <a:p>
              <a:r>
                <a:rPr lang="en-IN" sz="1200">
                  <a:solidFill>
                    <a:schemeClr val="bg1"/>
                  </a:solidFill>
                  <a:latin typeface="Kulim Park" pitchFamily="2" charset="0"/>
                </a:rPr>
                <a:t> </a:t>
              </a:r>
            </a:p>
          </xdr:txBody>
        </xdr:sp>
        <xdr:sp macro="" textlink="">
          <xdr:nvSpPr>
            <xdr:cNvPr id="80" name="TextBox 79">
              <a:extLst>
                <a:ext uri="{FF2B5EF4-FFF2-40B4-BE49-F238E27FC236}">
                  <a16:creationId xmlns:a16="http://schemas.microsoft.com/office/drawing/2014/main" id="{DF568226-5F78-4348-BE81-F5BE41C96E53}"/>
                </a:ext>
              </a:extLst>
            </xdr:cNvPr>
            <xdr:cNvSpPr txBox="1"/>
          </xdr:nvSpPr>
          <xdr:spPr>
            <a:xfrm>
              <a:off x="588309" y="4020701"/>
              <a:ext cx="1340032" cy="272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Kulim Park" pitchFamily="2" charset="0"/>
                </a:rPr>
                <a:t> Python</a:t>
              </a:r>
            </a:p>
          </xdr:txBody>
        </xdr:sp>
        <xdr:sp macro="" textlink="pivottables!T13">
          <xdr:nvSpPr>
            <xdr:cNvPr id="81" name="TextBox 80">
              <a:extLst>
                <a:ext uri="{FF2B5EF4-FFF2-40B4-BE49-F238E27FC236}">
                  <a16:creationId xmlns:a16="http://schemas.microsoft.com/office/drawing/2014/main" id="{39FAAFAA-C936-468A-8693-774349E435A4}"/>
                </a:ext>
              </a:extLst>
            </xdr:cNvPr>
            <xdr:cNvSpPr txBox="1"/>
          </xdr:nvSpPr>
          <xdr:spPr>
            <a:xfrm>
              <a:off x="1996416" y="3125554"/>
              <a:ext cx="1292368" cy="275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F4763-B4DA-4AD2-8E62-80029F870D9C}" type="TxLink">
                <a:rPr lang="en-US" sz="1400" b="0" i="0" u="none" strike="noStrike">
                  <a:solidFill>
                    <a:srgbClr val="E5B244"/>
                  </a:solidFill>
                  <a:latin typeface="Kulim Park" pitchFamily="2" charset="0"/>
                </a:rPr>
                <a:pPr/>
                <a:t>11</a:t>
              </a:fld>
              <a:endParaRPr lang="en-IN" sz="1400" b="0">
                <a:solidFill>
                  <a:srgbClr val="E5B244"/>
                </a:solidFill>
                <a:latin typeface="Kulim Park" pitchFamily="2" charset="0"/>
              </a:endParaRPr>
            </a:p>
          </xdr:txBody>
        </xdr:sp>
        <xdr:sp macro="" textlink="pivottables!T15">
          <xdr:nvSpPr>
            <xdr:cNvPr id="82" name="TextBox 81">
              <a:extLst>
                <a:ext uri="{FF2B5EF4-FFF2-40B4-BE49-F238E27FC236}">
                  <a16:creationId xmlns:a16="http://schemas.microsoft.com/office/drawing/2014/main" id="{DE077843-8178-4E81-B2FB-4DA0BB02B3B3}"/>
                </a:ext>
              </a:extLst>
            </xdr:cNvPr>
            <xdr:cNvSpPr txBox="1"/>
          </xdr:nvSpPr>
          <xdr:spPr>
            <a:xfrm>
              <a:off x="1996416" y="3731559"/>
              <a:ext cx="1192613" cy="314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284004-8A29-4022-995A-E283BABCB476}" type="TxLink">
                <a:rPr lang="en-US" sz="1400" b="0" i="0" u="none" strike="noStrike">
                  <a:solidFill>
                    <a:srgbClr val="E5B244"/>
                  </a:solidFill>
                  <a:latin typeface="Kulim Park" pitchFamily="2" charset="0"/>
                </a:rPr>
                <a:pPr/>
                <a:t>11</a:t>
              </a:fld>
              <a:endParaRPr lang="en-IN" sz="1400" b="0">
                <a:solidFill>
                  <a:srgbClr val="E5B244"/>
                </a:solidFill>
                <a:latin typeface="Kulim Park" pitchFamily="2" charset="0"/>
              </a:endParaRPr>
            </a:p>
          </xdr:txBody>
        </xdr:sp>
        <xdr:sp macro="" textlink="pivottables!T12">
          <xdr:nvSpPr>
            <xdr:cNvPr id="83" name="TextBox 82">
              <a:extLst>
                <a:ext uri="{FF2B5EF4-FFF2-40B4-BE49-F238E27FC236}">
                  <a16:creationId xmlns:a16="http://schemas.microsoft.com/office/drawing/2014/main" id="{F12AF107-5916-4613-9A4A-A99BF7D6E518}"/>
                </a:ext>
              </a:extLst>
            </xdr:cNvPr>
            <xdr:cNvSpPr txBox="1"/>
          </xdr:nvSpPr>
          <xdr:spPr>
            <a:xfrm>
              <a:off x="1996416" y="2819901"/>
              <a:ext cx="1624877" cy="2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F46F27-DF25-4337-9E64-FC23FCDD3F08}" type="TxLink">
                <a:rPr lang="en-US" sz="1400" b="0" i="0" u="none" strike="noStrike">
                  <a:solidFill>
                    <a:srgbClr val="E5B244"/>
                  </a:solidFill>
                  <a:latin typeface="Kulim Park" pitchFamily="2" charset="0"/>
                </a:rPr>
                <a:pPr/>
                <a:t>12</a:t>
              </a:fld>
              <a:endParaRPr lang="en-IN" sz="1400" b="0">
                <a:solidFill>
                  <a:srgbClr val="E5B244"/>
                </a:solidFill>
                <a:latin typeface="Kulim Park" pitchFamily="2" charset="0"/>
              </a:endParaRPr>
            </a:p>
          </xdr:txBody>
        </xdr:sp>
        <xdr:sp macro="" textlink="pivottables!T14">
          <xdr:nvSpPr>
            <xdr:cNvPr id="84" name="TextBox 83">
              <a:extLst>
                <a:ext uri="{FF2B5EF4-FFF2-40B4-BE49-F238E27FC236}">
                  <a16:creationId xmlns:a16="http://schemas.microsoft.com/office/drawing/2014/main" id="{DCA09590-55F9-4748-A8E0-AA1F8084D6F7}"/>
                </a:ext>
              </a:extLst>
            </xdr:cNvPr>
            <xdr:cNvSpPr txBox="1"/>
          </xdr:nvSpPr>
          <xdr:spPr>
            <a:xfrm>
              <a:off x="1996416" y="3406293"/>
              <a:ext cx="1772296" cy="356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1B1F47-0A39-4570-BFE9-638E88B4195B}" type="TxLink">
                <a:rPr lang="en-US" sz="1400" b="0" i="0" u="none" strike="noStrike">
                  <a:solidFill>
                    <a:srgbClr val="E5B244"/>
                  </a:solidFill>
                  <a:latin typeface="Kulim Park" pitchFamily="2" charset="0"/>
                </a:rPr>
                <a:pPr/>
                <a:t>7</a:t>
              </a:fld>
              <a:endParaRPr lang="en-IN" sz="1400" b="0">
                <a:solidFill>
                  <a:srgbClr val="E5B244"/>
                </a:solidFill>
                <a:latin typeface="Kulim Park" pitchFamily="2" charset="0"/>
              </a:endParaRPr>
            </a:p>
          </xdr:txBody>
        </xdr:sp>
        <xdr:sp macro="" textlink="pivottables!T16">
          <xdr:nvSpPr>
            <xdr:cNvPr id="85" name="TextBox 84">
              <a:extLst>
                <a:ext uri="{FF2B5EF4-FFF2-40B4-BE49-F238E27FC236}">
                  <a16:creationId xmlns:a16="http://schemas.microsoft.com/office/drawing/2014/main" id="{2A58B879-8BDB-4488-A7A7-4F305CEE1621}"/>
                </a:ext>
              </a:extLst>
            </xdr:cNvPr>
            <xdr:cNvSpPr txBox="1"/>
          </xdr:nvSpPr>
          <xdr:spPr>
            <a:xfrm>
              <a:off x="1996416" y="4006693"/>
              <a:ext cx="1342243" cy="272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8C80C9-4ACC-4841-8D08-BC85433D7F38}" type="TxLink">
                <a:rPr lang="en-US" sz="1400" b="0" i="0" u="none" strike="noStrike">
                  <a:solidFill>
                    <a:srgbClr val="E5B244"/>
                  </a:solidFill>
                  <a:latin typeface="Kulim Park" pitchFamily="2" charset="0"/>
                </a:rPr>
                <a:pPr/>
                <a:t>9</a:t>
              </a:fld>
              <a:endParaRPr lang="en-IN" sz="1400" b="0">
                <a:solidFill>
                  <a:srgbClr val="E5B244"/>
                </a:solidFill>
                <a:latin typeface="Kulim Park" pitchFamily="2" charset="0"/>
              </a:endParaRPr>
            </a:p>
          </xdr:txBody>
        </xdr:sp>
        <xdr:sp macro="" textlink="">
          <xdr:nvSpPr>
            <xdr:cNvPr id="86" name="TextBox 85">
              <a:extLst>
                <a:ext uri="{FF2B5EF4-FFF2-40B4-BE49-F238E27FC236}">
                  <a16:creationId xmlns:a16="http://schemas.microsoft.com/office/drawing/2014/main" id="{157E0571-F6F1-2B17-4ECA-DBC904057FB4}"/>
                </a:ext>
              </a:extLst>
            </xdr:cNvPr>
            <xdr:cNvSpPr txBox="1"/>
          </xdr:nvSpPr>
          <xdr:spPr>
            <a:xfrm>
              <a:off x="614112" y="2073232"/>
              <a:ext cx="1541374" cy="726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rgbClr val="E5B244"/>
                  </a:solidFill>
                  <a:effectLst/>
                  <a:latin typeface="Kulim Park" pitchFamily="2" charset="0"/>
                  <a:ea typeface="+mn-ea"/>
                  <a:cs typeface="+mn-cs"/>
                </a:rPr>
                <a:t> Skills</a:t>
              </a:r>
            </a:p>
            <a:p>
              <a:r>
                <a:rPr lang="en-IN" sz="1800" b="0" i="0" u="none" strike="noStrike">
                  <a:solidFill>
                    <a:srgbClr val="E5B244"/>
                  </a:solidFill>
                  <a:effectLst/>
                  <a:latin typeface="Kulim Park" pitchFamily="2" charset="0"/>
                  <a:ea typeface="+mn-ea"/>
                  <a:cs typeface="+mn-cs"/>
                </a:rPr>
                <a:t> BreakDown</a:t>
              </a:r>
              <a:endParaRPr lang="en-IN" sz="1800">
                <a:solidFill>
                  <a:srgbClr val="E5B244"/>
                </a:solidFill>
                <a:latin typeface="Kulim Park" pitchFamily="2" charset="0"/>
              </a:endParaRPr>
            </a:p>
            <a:p>
              <a:endParaRPr lang="en-IN" sz="1100">
                <a:solidFill>
                  <a:schemeClr val="bg1">
                    <a:lumMod val="95000"/>
                  </a:schemeClr>
                </a:solidFill>
                <a:latin typeface="Kulim Park" pitchFamily="2" charset="0"/>
              </a:endParaRPr>
            </a:p>
            <a:p>
              <a:r>
                <a:rPr lang="en-IN" sz="1100">
                  <a:solidFill>
                    <a:schemeClr val="bg1">
                      <a:lumMod val="95000"/>
                    </a:schemeClr>
                  </a:solidFill>
                  <a:latin typeface="Kulim Park" pitchFamily="2" charset="0"/>
                </a:rPr>
                <a:t> </a:t>
              </a:r>
            </a:p>
          </xdr:txBody>
        </xdr:sp>
        <xdr:pic>
          <xdr:nvPicPr>
            <xdr:cNvPr id="88" name="Graphic 87" descr="Online meeting with solid fill">
              <a:extLst>
                <a:ext uri="{FF2B5EF4-FFF2-40B4-BE49-F238E27FC236}">
                  <a16:creationId xmlns:a16="http://schemas.microsoft.com/office/drawing/2014/main" id="{CA6316C4-457C-DFC3-46DB-BE8E95A5650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22379" y="1601997"/>
              <a:ext cx="772115" cy="741890"/>
            </a:xfrm>
            <a:prstGeom prst="rect">
              <a:avLst/>
            </a:prstGeom>
          </xdr:spPr>
        </xdr:pic>
        <xdr:sp macro="" textlink="pivottables!J22">
          <xdr:nvSpPr>
            <xdr:cNvPr id="89" name="TextBox 88">
              <a:extLst>
                <a:ext uri="{FF2B5EF4-FFF2-40B4-BE49-F238E27FC236}">
                  <a16:creationId xmlns:a16="http://schemas.microsoft.com/office/drawing/2014/main" id="{7B44DB42-6594-D5F0-0971-AA3B51D957A7}"/>
                </a:ext>
              </a:extLst>
            </xdr:cNvPr>
            <xdr:cNvSpPr txBox="1"/>
          </xdr:nvSpPr>
          <xdr:spPr>
            <a:xfrm>
              <a:off x="2624535" y="1832015"/>
              <a:ext cx="1326277" cy="65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EE3292-4AE5-4347-97DF-CCAA95708579}" type="TxLink">
                <a:rPr lang="en-US" sz="4000" b="1" i="0" u="none" strike="noStrike">
                  <a:solidFill>
                    <a:schemeClr val="bg1">
                      <a:lumMod val="95000"/>
                    </a:schemeClr>
                  </a:solidFill>
                  <a:latin typeface="Kulim Park" pitchFamily="2" charset="0"/>
                </a:rPr>
                <a:pPr/>
                <a:t>50</a:t>
              </a:fld>
              <a:endParaRPr lang="en-IN" sz="4000">
                <a:solidFill>
                  <a:schemeClr val="bg1">
                    <a:lumMod val="95000"/>
                  </a:schemeClr>
                </a:solidFill>
                <a:latin typeface="Kulim Park" pitchFamily="2" charset="0"/>
              </a:endParaRPr>
            </a:p>
          </xdr:txBody>
        </xdr:sp>
        <xdr:sp macro="" textlink="">
          <xdr:nvSpPr>
            <xdr:cNvPr id="90" name="TextBox 89">
              <a:extLst>
                <a:ext uri="{FF2B5EF4-FFF2-40B4-BE49-F238E27FC236}">
                  <a16:creationId xmlns:a16="http://schemas.microsoft.com/office/drawing/2014/main" id="{0BC7A7B6-6A1F-B323-C23E-10918696090A}"/>
                </a:ext>
              </a:extLst>
            </xdr:cNvPr>
            <xdr:cNvSpPr txBox="1"/>
          </xdr:nvSpPr>
          <xdr:spPr>
            <a:xfrm>
              <a:off x="2624535" y="2381989"/>
              <a:ext cx="1368297" cy="249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latin typeface="Kulim Park" pitchFamily="2" charset="0"/>
                </a:rPr>
                <a:t>Total</a:t>
              </a:r>
              <a:r>
                <a:rPr lang="en-IN" sz="1100" baseline="0">
                  <a:solidFill>
                    <a:schemeClr val="bg1">
                      <a:lumMod val="95000"/>
                    </a:schemeClr>
                  </a:solidFill>
                  <a:latin typeface="Kulim Park" pitchFamily="2" charset="0"/>
                </a:rPr>
                <a:t> Employees</a:t>
              </a:r>
              <a:endParaRPr lang="en-IN" sz="1100">
                <a:solidFill>
                  <a:schemeClr val="bg1">
                    <a:lumMod val="95000"/>
                  </a:schemeClr>
                </a:solidFill>
                <a:latin typeface="Kulim Park" pitchFamily="2" charset="0"/>
              </a:endParaRPr>
            </a:p>
          </xdr:txBody>
        </xdr:sp>
        <xdr:sp macro="" textlink="">
          <xdr:nvSpPr>
            <xdr:cNvPr id="91" name="TextBox 90">
              <a:extLst>
                <a:ext uri="{FF2B5EF4-FFF2-40B4-BE49-F238E27FC236}">
                  <a16:creationId xmlns:a16="http://schemas.microsoft.com/office/drawing/2014/main" id="{FCC9B0AD-E1F6-DB12-1733-BAC7F0B34E11}"/>
                </a:ext>
              </a:extLst>
            </xdr:cNvPr>
            <xdr:cNvSpPr txBox="1"/>
          </xdr:nvSpPr>
          <xdr:spPr>
            <a:xfrm>
              <a:off x="2624535" y="1587991"/>
              <a:ext cx="2281045" cy="258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bg1"/>
                  </a:solidFill>
                  <a:latin typeface="Kulim Park" pitchFamily="2" charset="0"/>
                </a:rPr>
                <a:t>   Employees Numbers</a:t>
              </a:r>
              <a:endParaRPr lang="en-IN" sz="1400">
                <a:solidFill>
                  <a:schemeClr val="bg1"/>
                </a:solidFill>
                <a:latin typeface="Kulim Park" pitchFamily="2" charset="0"/>
              </a:endParaRPr>
            </a:p>
          </xdr:txBody>
        </xdr:sp>
        <xdr:pic>
          <xdr:nvPicPr>
            <xdr:cNvPr id="93" name="Graphic 92" descr="Employee badge outline">
              <a:extLst>
                <a:ext uri="{FF2B5EF4-FFF2-40B4-BE49-F238E27FC236}">
                  <a16:creationId xmlns:a16="http://schemas.microsoft.com/office/drawing/2014/main" id="{2C228420-50CD-25FF-3A42-CF2F5825981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88936" y="1747972"/>
              <a:ext cx="811925" cy="783909"/>
            </a:xfrm>
            <a:prstGeom prst="rect">
              <a:avLst/>
            </a:prstGeom>
          </xdr:spPr>
        </xdr:pic>
        <xdr:sp macro="" textlink="">
          <xdr:nvSpPr>
            <xdr:cNvPr id="99" name="TextBox 98">
              <a:extLst>
                <a:ext uri="{FF2B5EF4-FFF2-40B4-BE49-F238E27FC236}">
                  <a16:creationId xmlns:a16="http://schemas.microsoft.com/office/drawing/2014/main" id="{C07A9929-4A51-A02F-33C6-4F97FAD59327}"/>
                </a:ext>
              </a:extLst>
            </xdr:cNvPr>
            <xdr:cNvSpPr txBox="1"/>
          </xdr:nvSpPr>
          <xdr:spPr>
            <a:xfrm>
              <a:off x="2708579" y="2757974"/>
              <a:ext cx="1172195" cy="33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rgbClr val="E5B244"/>
                  </a:solidFill>
                  <a:latin typeface="Kulim Park" pitchFamily="2" charset="0"/>
                </a:rPr>
                <a:t>   </a:t>
              </a:r>
              <a:r>
                <a:rPr lang="en-IN" sz="1400" baseline="0">
                  <a:solidFill>
                    <a:schemeClr val="bg1"/>
                  </a:solidFill>
                  <a:latin typeface="Kulim Park" pitchFamily="2" charset="0"/>
                </a:rPr>
                <a:t>Males</a:t>
              </a:r>
              <a:endParaRPr lang="en-IN" sz="1400">
                <a:solidFill>
                  <a:schemeClr val="bg1"/>
                </a:solidFill>
                <a:latin typeface="Kulim Park" pitchFamily="2" charset="0"/>
              </a:endParaRPr>
            </a:p>
          </xdr:txBody>
        </xdr:sp>
        <xdr:sp macro="" textlink="">
          <xdr:nvSpPr>
            <xdr:cNvPr id="100" name="TextBox 99">
              <a:extLst>
                <a:ext uri="{FF2B5EF4-FFF2-40B4-BE49-F238E27FC236}">
                  <a16:creationId xmlns:a16="http://schemas.microsoft.com/office/drawing/2014/main" id="{BB6AFE45-6255-A262-C237-C88EC581B29C}"/>
                </a:ext>
              </a:extLst>
            </xdr:cNvPr>
            <xdr:cNvSpPr txBox="1"/>
          </xdr:nvSpPr>
          <xdr:spPr>
            <a:xfrm>
              <a:off x="3964818" y="2715952"/>
              <a:ext cx="1172195" cy="324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rgbClr val="E5B244"/>
                  </a:solidFill>
                  <a:latin typeface="Kulim Park" pitchFamily="2" charset="0"/>
                </a:rPr>
                <a:t>  Females</a:t>
              </a:r>
              <a:endParaRPr lang="en-IN" sz="1400">
                <a:solidFill>
                  <a:srgbClr val="E5B244"/>
                </a:solidFill>
                <a:latin typeface="Kulim Park" pitchFamily="2" charset="0"/>
              </a:endParaRPr>
            </a:p>
          </xdr:txBody>
        </xdr:sp>
        <xdr:graphicFrame macro="">
          <xdr:nvGraphicFramePr>
            <xdr:cNvPr id="101" name="Chart 100">
              <a:extLst>
                <a:ext uri="{FF2B5EF4-FFF2-40B4-BE49-F238E27FC236}">
                  <a16:creationId xmlns:a16="http://schemas.microsoft.com/office/drawing/2014/main" id="{FA8F2666-0139-45DE-B4A7-E2D559E02996}"/>
                </a:ext>
              </a:extLst>
            </xdr:cNvPr>
            <xdr:cNvGraphicFramePr>
              <a:graphicFrameLocks/>
            </xdr:cNvGraphicFramePr>
          </xdr:nvGraphicFramePr>
          <xdr:xfrm>
            <a:off x="2694572" y="2945967"/>
            <a:ext cx="1172195" cy="88393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02" name="Chart 101">
              <a:extLst>
                <a:ext uri="{FF2B5EF4-FFF2-40B4-BE49-F238E27FC236}">
                  <a16:creationId xmlns:a16="http://schemas.microsoft.com/office/drawing/2014/main" id="{0D501C35-A417-48A7-878F-9DA243A4BD0E}"/>
                </a:ext>
              </a:extLst>
            </xdr:cNvPr>
            <xdr:cNvGraphicFramePr>
              <a:graphicFrameLocks/>
            </xdr:cNvGraphicFramePr>
          </xdr:nvGraphicFramePr>
          <xdr:xfrm>
            <a:off x="3978826" y="2945967"/>
            <a:ext cx="990094" cy="855924"/>
          </xdr:xfrm>
          <a:graphic>
            <a:graphicData uri="http://schemas.openxmlformats.org/drawingml/2006/chart">
              <c:chart xmlns:c="http://schemas.openxmlformats.org/drawingml/2006/chart" xmlns:r="http://schemas.openxmlformats.org/officeDocument/2006/relationships" r:id="rId11"/>
            </a:graphicData>
          </a:graphic>
        </xdr:graphicFrame>
        <xdr:sp macro="" textlink="pivottables!K20">
          <xdr:nvSpPr>
            <xdr:cNvPr id="105" name="TextBox 104">
              <a:extLst>
                <a:ext uri="{FF2B5EF4-FFF2-40B4-BE49-F238E27FC236}">
                  <a16:creationId xmlns:a16="http://schemas.microsoft.com/office/drawing/2014/main" id="{DC90AE7B-2DFD-7ECF-C0A4-EBDDBD210B4C}"/>
                </a:ext>
              </a:extLst>
            </xdr:cNvPr>
            <xdr:cNvSpPr txBox="1"/>
          </xdr:nvSpPr>
          <xdr:spPr>
            <a:xfrm>
              <a:off x="3044756" y="3265925"/>
              <a:ext cx="544074" cy="333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3CBE90-B049-4B63-A7C6-B78F8BD82BB7}" type="TxLink">
                <a:rPr lang="en-US" sz="1400" b="1" i="0" u="none" strike="noStrike">
                  <a:solidFill>
                    <a:schemeClr val="bg1">
                      <a:lumMod val="95000"/>
                    </a:schemeClr>
                  </a:solidFill>
                  <a:latin typeface="Kulim Park" pitchFamily="2" charset="0"/>
                </a:rPr>
                <a:pPr/>
                <a:t>48%</a:t>
              </a:fld>
              <a:endParaRPr lang="en-IN" sz="1400">
                <a:solidFill>
                  <a:schemeClr val="bg1">
                    <a:lumMod val="95000"/>
                  </a:schemeClr>
                </a:solidFill>
                <a:latin typeface="Kulim Park" pitchFamily="2" charset="0"/>
              </a:endParaRPr>
            </a:p>
          </xdr:txBody>
        </xdr:sp>
        <xdr:sp macro="" textlink="pivottables!K21">
          <xdr:nvSpPr>
            <xdr:cNvPr id="106" name="TextBox 105">
              <a:extLst>
                <a:ext uri="{FF2B5EF4-FFF2-40B4-BE49-F238E27FC236}">
                  <a16:creationId xmlns:a16="http://schemas.microsoft.com/office/drawing/2014/main" id="{222B94A9-4A82-9DB7-7598-72B94BFC5FA5}"/>
                </a:ext>
              </a:extLst>
            </xdr:cNvPr>
            <xdr:cNvSpPr txBox="1"/>
          </xdr:nvSpPr>
          <xdr:spPr>
            <a:xfrm>
              <a:off x="4258973" y="3251918"/>
              <a:ext cx="544074" cy="333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211B10-A088-486E-A6E4-B7B5FA24416B}" type="TxLink">
                <a:rPr lang="en-US" sz="1400" b="1" i="0" u="none" strike="noStrike">
                  <a:solidFill>
                    <a:srgbClr val="E5B244"/>
                  </a:solidFill>
                  <a:latin typeface="Kulim Park" pitchFamily="2" charset="0"/>
                </a:rPr>
                <a:pPr/>
                <a:t>52%</a:t>
              </a:fld>
              <a:endParaRPr lang="en-IN" sz="1800">
                <a:solidFill>
                  <a:srgbClr val="E5B244"/>
                </a:solidFill>
                <a:latin typeface="Kulim Park" pitchFamily="2" charset="0"/>
              </a:endParaRPr>
            </a:p>
          </xdr:txBody>
        </xdr:sp>
        <xdr:graphicFrame macro="">
          <xdr:nvGraphicFramePr>
            <xdr:cNvPr id="107" name="Chart 106">
              <a:extLst>
                <a:ext uri="{FF2B5EF4-FFF2-40B4-BE49-F238E27FC236}">
                  <a16:creationId xmlns:a16="http://schemas.microsoft.com/office/drawing/2014/main" id="{C3368653-DD1B-46BE-9202-213A0C06EF8D}"/>
                </a:ext>
              </a:extLst>
            </xdr:cNvPr>
            <xdr:cNvGraphicFramePr>
              <a:graphicFrameLocks/>
            </xdr:cNvGraphicFramePr>
          </xdr:nvGraphicFramePr>
          <xdr:xfrm>
            <a:off x="5221058" y="1573984"/>
            <a:ext cx="2428431" cy="2213898"/>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08" name="TextBox 107">
              <a:extLst>
                <a:ext uri="{FF2B5EF4-FFF2-40B4-BE49-F238E27FC236}">
                  <a16:creationId xmlns:a16="http://schemas.microsoft.com/office/drawing/2014/main" id="{335A57EA-1C1E-5FF2-D8C2-C96074F2C364}"/>
                </a:ext>
              </a:extLst>
            </xdr:cNvPr>
            <xdr:cNvSpPr txBox="1"/>
          </xdr:nvSpPr>
          <xdr:spPr>
            <a:xfrm>
              <a:off x="5431170" y="1587991"/>
              <a:ext cx="1660236" cy="36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solidFill>
                    <a:srgbClr val="E5B244"/>
                  </a:solidFill>
                  <a:latin typeface="Kulim Park" pitchFamily="2" charset="0"/>
                  <a:ea typeface="+mn-ea"/>
                  <a:cs typeface="+mn-cs"/>
                </a:rPr>
                <a:t> Leave</a:t>
              </a:r>
              <a:r>
                <a:rPr lang="en-IN" sz="1600" baseline="0">
                  <a:solidFill>
                    <a:srgbClr val="E5B244"/>
                  </a:solidFill>
                  <a:latin typeface="Kulim Park" pitchFamily="2" charset="0"/>
                  <a:ea typeface="+mn-ea"/>
                  <a:cs typeface="+mn-cs"/>
                </a:rPr>
                <a:t> Tracking</a:t>
              </a:r>
              <a:endParaRPr lang="en-IN" sz="1600">
                <a:solidFill>
                  <a:srgbClr val="E5B244"/>
                </a:solidFill>
                <a:latin typeface="Kulim Park" pitchFamily="2" charset="0"/>
                <a:ea typeface="+mn-ea"/>
                <a:cs typeface="+mn-cs"/>
              </a:endParaRPr>
            </a:p>
          </xdr:txBody>
        </xdr:sp>
        <xdr:graphicFrame macro="">
          <xdr:nvGraphicFramePr>
            <xdr:cNvPr id="109" name="Chart 108">
              <a:extLst>
                <a:ext uri="{FF2B5EF4-FFF2-40B4-BE49-F238E27FC236}">
                  <a16:creationId xmlns:a16="http://schemas.microsoft.com/office/drawing/2014/main" id="{61A23BC2-CA38-419A-B4C3-14032955F302}"/>
                </a:ext>
              </a:extLst>
            </xdr:cNvPr>
            <xdr:cNvGraphicFramePr>
              <a:graphicFrameLocks/>
            </xdr:cNvGraphicFramePr>
          </xdr:nvGraphicFramePr>
          <xdr:xfrm>
            <a:off x="7957650" y="2687938"/>
            <a:ext cx="2302367" cy="1010004"/>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13" name="TextBox 112">
              <a:extLst>
                <a:ext uri="{FF2B5EF4-FFF2-40B4-BE49-F238E27FC236}">
                  <a16:creationId xmlns:a16="http://schemas.microsoft.com/office/drawing/2014/main" id="{C5D0309C-6B84-9368-2541-58B75BAC30E0}"/>
                </a:ext>
              </a:extLst>
            </xdr:cNvPr>
            <xdr:cNvSpPr txBox="1"/>
          </xdr:nvSpPr>
          <xdr:spPr>
            <a:xfrm>
              <a:off x="9491825" y="2381987"/>
              <a:ext cx="1060136" cy="244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solidFill>
                    <a:srgbClr val="E5B244"/>
                  </a:solidFill>
                  <a:latin typeface="Kulim Park" pitchFamily="2" charset="0"/>
                  <a:ea typeface="+mn-ea"/>
                  <a:cs typeface="+mn-cs"/>
                </a:rPr>
                <a:t>Regions</a:t>
              </a:r>
            </a:p>
          </xdr:txBody>
        </xdr:sp>
        <xdr:sp macro="" textlink="pivottables!Z17">
          <xdr:nvSpPr>
            <xdr:cNvPr id="114" name="TextBox 113">
              <a:extLst>
                <a:ext uri="{FF2B5EF4-FFF2-40B4-BE49-F238E27FC236}">
                  <a16:creationId xmlns:a16="http://schemas.microsoft.com/office/drawing/2014/main" id="{5FD9FCB9-2C2B-4381-B510-B704C59059D7}"/>
                </a:ext>
              </a:extLst>
            </xdr:cNvPr>
            <xdr:cNvSpPr txBox="1"/>
          </xdr:nvSpPr>
          <xdr:spPr>
            <a:xfrm>
              <a:off x="8313316" y="1218410"/>
              <a:ext cx="993612" cy="656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1781C2-2C52-4A17-B7BF-C3172A46C842}" type="TxLink">
                <a:rPr lang="en-US" sz="4000" b="0" i="0" u="none" strike="noStrike">
                  <a:solidFill>
                    <a:schemeClr val="bg1"/>
                  </a:solidFill>
                  <a:latin typeface="Kulim Park" pitchFamily="2" charset="0"/>
                </a:rPr>
                <a:pPr/>
                <a:t>2.6</a:t>
              </a:fld>
              <a:endParaRPr lang="en-IN" sz="4000">
                <a:solidFill>
                  <a:schemeClr val="bg1"/>
                </a:solidFill>
                <a:latin typeface="Kulim Park" pitchFamily="2" charset="0"/>
              </a:endParaRPr>
            </a:p>
          </xdr:txBody>
        </xdr:sp>
        <xdr:sp macro="" textlink="">
          <xdr:nvSpPr>
            <xdr:cNvPr id="115" name="TextBox 114">
              <a:extLst>
                <a:ext uri="{FF2B5EF4-FFF2-40B4-BE49-F238E27FC236}">
                  <a16:creationId xmlns:a16="http://schemas.microsoft.com/office/drawing/2014/main" id="{506DF930-8354-4AB0-9214-EB6B72EA2179}"/>
                </a:ext>
              </a:extLst>
            </xdr:cNvPr>
            <xdr:cNvSpPr txBox="1"/>
          </xdr:nvSpPr>
          <xdr:spPr>
            <a:xfrm>
              <a:off x="8095602" y="1877240"/>
              <a:ext cx="1714790" cy="272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bg1">
                      <a:lumMod val="95000"/>
                    </a:schemeClr>
                  </a:solidFill>
                  <a:latin typeface="Kulim Park" pitchFamily="2" charset="0"/>
                </a:rPr>
                <a:t>Average Rating</a:t>
              </a:r>
              <a:endParaRPr lang="en-IN" sz="1400">
                <a:solidFill>
                  <a:schemeClr val="bg1">
                    <a:lumMod val="95000"/>
                  </a:schemeClr>
                </a:solidFill>
                <a:latin typeface="Kulim Park" pitchFamily="2" charset="0"/>
              </a:endParaRPr>
            </a:p>
          </xdr:txBody>
        </xdr:sp>
        <xdr:pic>
          <xdr:nvPicPr>
            <xdr:cNvPr id="119" name="Graphic 118" descr="Clipboard Mixed outline">
              <a:extLst>
                <a:ext uri="{FF2B5EF4-FFF2-40B4-BE49-F238E27FC236}">
                  <a16:creationId xmlns:a16="http://schemas.microsoft.com/office/drawing/2014/main" id="{D6C06A99-0696-8EE7-14AB-8B74DC2C40F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407397" y="1101634"/>
              <a:ext cx="983365" cy="966562"/>
            </a:xfrm>
            <a:prstGeom prst="rect">
              <a:avLst/>
            </a:prstGeom>
          </xdr:spPr>
        </xdr:pic>
        <xdr:sp macro="" textlink="">
          <xdr:nvSpPr>
            <xdr:cNvPr id="122" name="TextBox 121">
              <a:extLst>
                <a:ext uri="{FF2B5EF4-FFF2-40B4-BE49-F238E27FC236}">
                  <a16:creationId xmlns:a16="http://schemas.microsoft.com/office/drawing/2014/main" id="{29D78E52-C877-E721-E563-3F5B4F8CAB44}"/>
                </a:ext>
              </a:extLst>
            </xdr:cNvPr>
            <xdr:cNvSpPr txBox="1"/>
          </xdr:nvSpPr>
          <xdr:spPr>
            <a:xfrm>
              <a:off x="7965904" y="796873"/>
              <a:ext cx="2277419" cy="361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solidFill>
                    <a:srgbClr val="E5B244"/>
                  </a:solidFill>
                  <a:latin typeface="Kulim Park" pitchFamily="2" charset="0"/>
                  <a:ea typeface="+mn-ea"/>
                  <a:cs typeface="+mn-cs"/>
                </a:rPr>
                <a:t>  Performance</a:t>
              </a:r>
              <a:r>
                <a:rPr lang="en-IN" sz="1600" baseline="0">
                  <a:solidFill>
                    <a:srgbClr val="E5B244"/>
                  </a:solidFill>
                  <a:latin typeface="Kulim Park" pitchFamily="2" charset="0"/>
                  <a:ea typeface="+mn-ea"/>
                  <a:cs typeface="+mn-cs"/>
                </a:rPr>
                <a:t> Rating</a:t>
              </a:r>
              <a:endParaRPr lang="en-IN" sz="1600">
                <a:solidFill>
                  <a:srgbClr val="E5B244"/>
                </a:solidFill>
                <a:latin typeface="Kulim Park" pitchFamily="2" charset="0"/>
                <a:ea typeface="+mn-ea"/>
                <a:cs typeface="+mn-cs"/>
              </a:endParaRPr>
            </a:p>
          </xdr:txBody>
        </xdr:sp>
        <xdr:sp macro="" textlink="">
          <xdr:nvSpPr>
            <xdr:cNvPr id="123" name="Oval 122">
              <a:extLst>
                <a:ext uri="{FF2B5EF4-FFF2-40B4-BE49-F238E27FC236}">
                  <a16:creationId xmlns:a16="http://schemas.microsoft.com/office/drawing/2014/main" id="{71A673B8-4D50-0633-6732-0311B2DD0D43}"/>
                </a:ext>
              </a:extLst>
            </xdr:cNvPr>
            <xdr:cNvSpPr/>
          </xdr:nvSpPr>
          <xdr:spPr>
            <a:xfrm>
              <a:off x="550307" y="2863648"/>
              <a:ext cx="131339" cy="12275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4" name="Oval 123">
              <a:extLst>
                <a:ext uri="{FF2B5EF4-FFF2-40B4-BE49-F238E27FC236}">
                  <a16:creationId xmlns:a16="http://schemas.microsoft.com/office/drawing/2014/main" id="{BFD8B67B-8BBC-4C0B-95C4-6A4CF32885C8}"/>
                </a:ext>
              </a:extLst>
            </xdr:cNvPr>
            <xdr:cNvSpPr/>
          </xdr:nvSpPr>
          <xdr:spPr>
            <a:xfrm>
              <a:off x="542996" y="3181725"/>
              <a:ext cx="131339" cy="13047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5" name="Oval 124">
              <a:extLst>
                <a:ext uri="{FF2B5EF4-FFF2-40B4-BE49-F238E27FC236}">
                  <a16:creationId xmlns:a16="http://schemas.microsoft.com/office/drawing/2014/main" id="{C6BA555F-D6D9-4D4D-91DE-8246A2D5515D}"/>
                </a:ext>
              </a:extLst>
            </xdr:cNvPr>
            <xdr:cNvSpPr/>
          </xdr:nvSpPr>
          <xdr:spPr>
            <a:xfrm>
              <a:off x="542996" y="3470957"/>
              <a:ext cx="131339" cy="12275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6" name="Oval 125">
              <a:extLst>
                <a:ext uri="{FF2B5EF4-FFF2-40B4-BE49-F238E27FC236}">
                  <a16:creationId xmlns:a16="http://schemas.microsoft.com/office/drawing/2014/main" id="{AD031D22-92AC-4098-B935-8F9778A3020D}"/>
                </a:ext>
              </a:extLst>
            </xdr:cNvPr>
            <xdr:cNvSpPr/>
          </xdr:nvSpPr>
          <xdr:spPr>
            <a:xfrm>
              <a:off x="542997" y="3798859"/>
              <a:ext cx="131339" cy="13047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7" name="Oval 126">
              <a:extLst>
                <a:ext uri="{FF2B5EF4-FFF2-40B4-BE49-F238E27FC236}">
                  <a16:creationId xmlns:a16="http://schemas.microsoft.com/office/drawing/2014/main" id="{F843CD07-CD72-4CE6-B42C-463852AF1AA4}"/>
                </a:ext>
              </a:extLst>
            </xdr:cNvPr>
            <xdr:cNvSpPr/>
          </xdr:nvSpPr>
          <xdr:spPr>
            <a:xfrm>
              <a:off x="542996" y="4072508"/>
              <a:ext cx="131339" cy="12275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131" name="Straight Connector 130">
              <a:extLst>
                <a:ext uri="{FF2B5EF4-FFF2-40B4-BE49-F238E27FC236}">
                  <a16:creationId xmlns:a16="http://schemas.microsoft.com/office/drawing/2014/main" id="{3C6AC2AB-226E-145A-58E7-EC85E49F495C}"/>
                </a:ext>
              </a:extLst>
            </xdr:cNvPr>
            <xdr:cNvCxnSpPr/>
          </xdr:nvCxnSpPr>
          <xdr:spPr>
            <a:xfrm>
              <a:off x="666304" y="2107072"/>
              <a:ext cx="0" cy="563981"/>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sp macro="" textlink="">
          <xdr:nvSpPr>
            <xdr:cNvPr id="135" name="Oval 134">
              <a:extLst>
                <a:ext uri="{FF2B5EF4-FFF2-40B4-BE49-F238E27FC236}">
                  <a16:creationId xmlns:a16="http://schemas.microsoft.com/office/drawing/2014/main" id="{66D4D8F7-5894-4CA5-9566-078BFDD281DF}"/>
                </a:ext>
              </a:extLst>
            </xdr:cNvPr>
            <xdr:cNvSpPr/>
          </xdr:nvSpPr>
          <xdr:spPr>
            <a:xfrm>
              <a:off x="562214" y="4803910"/>
              <a:ext cx="131339" cy="122752"/>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6" name="Oval 135">
              <a:extLst>
                <a:ext uri="{FF2B5EF4-FFF2-40B4-BE49-F238E27FC236}">
                  <a16:creationId xmlns:a16="http://schemas.microsoft.com/office/drawing/2014/main" id="{5EAAA8A0-6BCB-42E6-984B-E4E91B5FB3F8}"/>
                </a:ext>
              </a:extLst>
            </xdr:cNvPr>
            <xdr:cNvSpPr/>
          </xdr:nvSpPr>
          <xdr:spPr>
            <a:xfrm>
              <a:off x="519195" y="5289721"/>
              <a:ext cx="131339" cy="13047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7" name="Oval 136">
              <a:extLst>
                <a:ext uri="{FF2B5EF4-FFF2-40B4-BE49-F238E27FC236}">
                  <a16:creationId xmlns:a16="http://schemas.microsoft.com/office/drawing/2014/main" id="{91B41812-E71F-471B-AE82-F4A4070ADB30}"/>
                </a:ext>
              </a:extLst>
            </xdr:cNvPr>
            <xdr:cNvSpPr/>
          </xdr:nvSpPr>
          <xdr:spPr>
            <a:xfrm>
              <a:off x="542997" y="5795648"/>
              <a:ext cx="131339" cy="122752"/>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8" name="Oval 137">
              <a:extLst>
                <a:ext uri="{FF2B5EF4-FFF2-40B4-BE49-F238E27FC236}">
                  <a16:creationId xmlns:a16="http://schemas.microsoft.com/office/drawing/2014/main" id="{C088285F-B930-4527-80DF-419DB8F47FC6}"/>
                </a:ext>
              </a:extLst>
            </xdr:cNvPr>
            <xdr:cNvSpPr/>
          </xdr:nvSpPr>
          <xdr:spPr>
            <a:xfrm>
              <a:off x="2649863" y="1656302"/>
              <a:ext cx="130480" cy="12275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9" name="Oval 138">
              <a:extLst>
                <a:ext uri="{FF2B5EF4-FFF2-40B4-BE49-F238E27FC236}">
                  <a16:creationId xmlns:a16="http://schemas.microsoft.com/office/drawing/2014/main" id="{6CAC917A-9914-4770-BA49-7E8870739101}"/>
                </a:ext>
              </a:extLst>
            </xdr:cNvPr>
            <xdr:cNvSpPr/>
          </xdr:nvSpPr>
          <xdr:spPr>
            <a:xfrm>
              <a:off x="2727028" y="2810882"/>
              <a:ext cx="130480" cy="13047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0" name="Oval 139">
              <a:extLst>
                <a:ext uri="{FF2B5EF4-FFF2-40B4-BE49-F238E27FC236}">
                  <a16:creationId xmlns:a16="http://schemas.microsoft.com/office/drawing/2014/main" id="{59BE09B4-6AC8-4CF8-A663-17782006BD24}"/>
                </a:ext>
              </a:extLst>
            </xdr:cNvPr>
            <xdr:cNvSpPr/>
          </xdr:nvSpPr>
          <xdr:spPr>
            <a:xfrm>
              <a:off x="3933339" y="2765073"/>
              <a:ext cx="130480" cy="122752"/>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1" name="Oval 140">
              <a:extLst>
                <a:ext uri="{FF2B5EF4-FFF2-40B4-BE49-F238E27FC236}">
                  <a16:creationId xmlns:a16="http://schemas.microsoft.com/office/drawing/2014/main" id="{4D519E77-B20A-4D65-AFBA-2E41D30A4804}"/>
                </a:ext>
              </a:extLst>
            </xdr:cNvPr>
            <xdr:cNvSpPr/>
          </xdr:nvSpPr>
          <xdr:spPr>
            <a:xfrm>
              <a:off x="2723546" y="4183635"/>
              <a:ext cx="130480" cy="13047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2" name="Oval 141">
              <a:extLst>
                <a:ext uri="{FF2B5EF4-FFF2-40B4-BE49-F238E27FC236}">
                  <a16:creationId xmlns:a16="http://schemas.microsoft.com/office/drawing/2014/main" id="{8D4932E1-5C49-4E90-8D7C-03F05E9F0CA8}"/>
                </a:ext>
              </a:extLst>
            </xdr:cNvPr>
            <xdr:cNvSpPr/>
          </xdr:nvSpPr>
          <xdr:spPr>
            <a:xfrm>
              <a:off x="5332369" y="1672323"/>
              <a:ext cx="130480" cy="12275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3" name="Oval 142">
              <a:extLst>
                <a:ext uri="{FF2B5EF4-FFF2-40B4-BE49-F238E27FC236}">
                  <a16:creationId xmlns:a16="http://schemas.microsoft.com/office/drawing/2014/main" id="{5BF2466C-942F-4F18-944B-1D994D1964DB}"/>
                </a:ext>
              </a:extLst>
            </xdr:cNvPr>
            <xdr:cNvSpPr/>
          </xdr:nvSpPr>
          <xdr:spPr>
            <a:xfrm>
              <a:off x="5290519" y="4003316"/>
              <a:ext cx="130480" cy="13047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4" name="Oval 143">
              <a:extLst>
                <a:ext uri="{FF2B5EF4-FFF2-40B4-BE49-F238E27FC236}">
                  <a16:creationId xmlns:a16="http://schemas.microsoft.com/office/drawing/2014/main" id="{0958DF9D-F1C0-4681-A642-9F04C3DBD65D}"/>
                </a:ext>
              </a:extLst>
            </xdr:cNvPr>
            <xdr:cNvSpPr/>
          </xdr:nvSpPr>
          <xdr:spPr>
            <a:xfrm>
              <a:off x="7973880" y="874006"/>
              <a:ext cx="130480" cy="12275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5" name="Oval 144">
              <a:extLst>
                <a:ext uri="{FF2B5EF4-FFF2-40B4-BE49-F238E27FC236}">
                  <a16:creationId xmlns:a16="http://schemas.microsoft.com/office/drawing/2014/main" id="{2FE9B7C9-0BF3-41E4-AFBF-930011F53809}"/>
                </a:ext>
              </a:extLst>
            </xdr:cNvPr>
            <xdr:cNvSpPr/>
          </xdr:nvSpPr>
          <xdr:spPr>
            <a:xfrm>
              <a:off x="9394349" y="2470202"/>
              <a:ext cx="130480" cy="13047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47" name="Graphic 146" descr="Users with solid fill">
              <a:extLst>
                <a:ext uri="{FF2B5EF4-FFF2-40B4-BE49-F238E27FC236}">
                  <a16:creationId xmlns:a16="http://schemas.microsoft.com/office/drawing/2014/main" id="{66F9CDF1-8B1C-4E67-ED23-B48750C37E1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96024" y="388320"/>
              <a:ext cx="869166" cy="838219"/>
            </a:xfrm>
            <a:prstGeom prst="rect">
              <a:avLst/>
            </a:prstGeom>
          </xdr:spPr>
        </xdr:pic>
        <xdr:sp macro="" textlink="">
          <xdr:nvSpPr>
            <xdr:cNvPr id="149" name="TextBox 148">
              <a:extLst>
                <a:ext uri="{FF2B5EF4-FFF2-40B4-BE49-F238E27FC236}">
                  <a16:creationId xmlns:a16="http://schemas.microsoft.com/office/drawing/2014/main" id="{53D4E55A-0EBF-FF45-6C01-2B543AB8F625}"/>
                </a:ext>
              </a:extLst>
            </xdr:cNvPr>
            <xdr:cNvSpPr txBox="1"/>
          </xdr:nvSpPr>
          <xdr:spPr>
            <a:xfrm>
              <a:off x="1267100" y="368243"/>
              <a:ext cx="6219674" cy="1104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0" u="none" strike="noStrike">
                  <a:solidFill>
                    <a:srgbClr val="E5B244"/>
                  </a:solidFill>
                  <a:effectLst/>
                  <a:latin typeface="Kulim Park" pitchFamily="2" charset="0"/>
                  <a:ea typeface="+mn-ea"/>
                  <a:cs typeface="+mn-cs"/>
                </a:rPr>
                <a:t>workforce</a:t>
              </a:r>
            </a:p>
            <a:p>
              <a:r>
                <a:rPr lang="en-IN" sz="1600" b="0" i="0" u="none" strike="noStrike">
                  <a:solidFill>
                    <a:srgbClr val="E5B244"/>
                  </a:solidFill>
                  <a:effectLst/>
                  <a:latin typeface="Kulim Park" pitchFamily="2" charset="0"/>
                  <a:ea typeface="+mn-ea"/>
                  <a:cs typeface="+mn-cs"/>
                </a:rPr>
                <a:t>Insights</a:t>
              </a:r>
              <a:r>
                <a:rPr lang="en-IN" sz="1600" b="0" i="0" u="none" strike="noStrike" baseline="0">
                  <a:solidFill>
                    <a:srgbClr val="E5B244"/>
                  </a:solidFill>
                  <a:effectLst/>
                  <a:latin typeface="Kulim Park" pitchFamily="2" charset="0"/>
                  <a:ea typeface="+mn-ea"/>
                  <a:cs typeface="+mn-cs"/>
                </a:rPr>
                <a:t>.</a:t>
              </a:r>
              <a:endParaRPr lang="en-IN" sz="1600" b="0" i="0" u="none" strike="noStrike">
                <a:solidFill>
                  <a:srgbClr val="E5B244"/>
                </a:solidFill>
                <a:effectLst/>
                <a:latin typeface="Kulim Park" pitchFamily="2" charset="0"/>
                <a:ea typeface="+mn-ea"/>
                <a:cs typeface="+mn-cs"/>
              </a:endParaRPr>
            </a:p>
            <a:p>
              <a:r>
                <a:rPr lang="en-IN" sz="1050" b="0" i="0" u="none" strike="noStrike">
                  <a:solidFill>
                    <a:schemeClr val="tx1">
                      <a:lumMod val="65000"/>
                      <a:lumOff val="35000"/>
                    </a:schemeClr>
                  </a:solidFill>
                  <a:effectLst/>
                  <a:latin typeface="Kulim Park" pitchFamily="2" charset="0"/>
                  <a:ea typeface="+mn-ea"/>
                  <a:cs typeface="+mn-cs"/>
                </a:rPr>
                <a:t>Analyze</a:t>
              </a:r>
              <a:r>
                <a:rPr lang="en-IN" sz="1050" b="0" i="0" u="none" strike="noStrike" baseline="0">
                  <a:solidFill>
                    <a:schemeClr val="tx1">
                      <a:lumMod val="65000"/>
                      <a:lumOff val="35000"/>
                    </a:schemeClr>
                  </a:solidFill>
                  <a:effectLst/>
                  <a:latin typeface="Kulim Park" pitchFamily="2" charset="0"/>
                  <a:ea typeface="+mn-ea"/>
                  <a:cs typeface="+mn-cs"/>
                </a:rPr>
                <a:t> and monitor </a:t>
              </a:r>
            </a:p>
            <a:p>
              <a:r>
                <a:rPr lang="en-IN" sz="1050" b="0" i="0" u="none" strike="noStrike" baseline="0">
                  <a:solidFill>
                    <a:schemeClr val="tx1">
                      <a:lumMod val="65000"/>
                      <a:lumOff val="35000"/>
                    </a:schemeClr>
                  </a:solidFill>
                  <a:effectLst/>
                  <a:latin typeface="Kulim Park" pitchFamily="2" charset="0"/>
                  <a:ea typeface="+mn-ea"/>
                  <a:cs typeface="+mn-cs"/>
                </a:rPr>
                <a:t>the HR Department</a:t>
              </a:r>
              <a:endParaRPr lang="en-IN" sz="1050">
                <a:solidFill>
                  <a:schemeClr val="tx1">
                    <a:lumMod val="65000"/>
                    <a:lumOff val="35000"/>
                  </a:schemeClr>
                </a:solidFill>
                <a:latin typeface="Kulim Park" pitchFamily="2" charset="0"/>
              </a:endParaRPr>
            </a:p>
            <a:p>
              <a:endParaRPr lang="en-IN" sz="1050">
                <a:solidFill>
                  <a:schemeClr val="bg1">
                    <a:lumMod val="95000"/>
                  </a:schemeClr>
                </a:solidFill>
                <a:latin typeface="Kulim Park" pitchFamily="2" charset="0"/>
              </a:endParaRPr>
            </a:p>
            <a:p>
              <a:r>
                <a:rPr lang="en-IN" sz="1100">
                  <a:solidFill>
                    <a:schemeClr val="bg1">
                      <a:lumMod val="95000"/>
                    </a:schemeClr>
                  </a:solidFill>
                  <a:latin typeface="Kulim Park" pitchFamily="2" charset="0"/>
                </a:rPr>
                <a:t> </a:t>
              </a:r>
            </a:p>
          </xdr:txBody>
        </xdr:sp>
        <mc:AlternateContent xmlns:mc="http://schemas.openxmlformats.org/markup-compatibility/2006">
          <mc:Choice xmlns:a14="http://schemas.microsoft.com/office/drawing/2010/main" Requires="a14">
            <xdr:graphicFrame macro="">
              <xdr:nvGraphicFramePr>
                <xdr:cNvPr id="150" name="Gender">
                  <a:extLst>
                    <a:ext uri="{FF2B5EF4-FFF2-40B4-BE49-F238E27FC236}">
                      <a16:creationId xmlns:a16="http://schemas.microsoft.com/office/drawing/2014/main" id="{47D7B40D-9200-4261-8080-14090F3D0851}"/>
                    </a:ext>
                  </a:extLst>
                </xdr:cNvPr>
                <xdr:cNvGraphicFramePr/>
              </xdr:nvGraphicFramePr>
              <xdr:xfrm>
                <a:off x="2991412" y="497334"/>
                <a:ext cx="1894529" cy="988244"/>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574990" y="2090299"/>
                  <a:ext cx="2390039" cy="1197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1" name="Department">
                  <a:extLst>
                    <a:ext uri="{FF2B5EF4-FFF2-40B4-BE49-F238E27FC236}">
                      <a16:creationId xmlns:a16="http://schemas.microsoft.com/office/drawing/2014/main" id="{AFB48427-C93C-4080-8B5D-6DCDA315E769}"/>
                    </a:ext>
                  </a:extLst>
                </xdr:cNvPr>
                <xdr:cNvGraphicFramePr/>
              </xdr:nvGraphicFramePr>
              <xdr:xfrm>
                <a:off x="4980303" y="563638"/>
                <a:ext cx="2906724" cy="939967"/>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084072" y="2170646"/>
                  <a:ext cx="3666972" cy="1139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53" name="TextBox 152">
              <a:extLst>
                <a:ext uri="{FF2B5EF4-FFF2-40B4-BE49-F238E27FC236}">
                  <a16:creationId xmlns:a16="http://schemas.microsoft.com/office/drawing/2014/main" id="{46399FE6-F489-0A59-635E-B77639DA0614}"/>
                </a:ext>
              </a:extLst>
            </xdr:cNvPr>
            <xdr:cNvSpPr txBox="1"/>
          </xdr:nvSpPr>
          <xdr:spPr>
            <a:xfrm>
              <a:off x="5523165" y="420807"/>
              <a:ext cx="1290548" cy="304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solidFill>
                    <a:srgbClr val="E5B244"/>
                  </a:solidFill>
                  <a:latin typeface="Kulim Park" pitchFamily="2" charset="0"/>
                  <a:ea typeface="+mn-ea"/>
                  <a:cs typeface="+mn-cs"/>
                </a:rPr>
                <a:t> </a:t>
              </a:r>
              <a:r>
                <a:rPr lang="en-IN" sz="1600" baseline="0">
                  <a:solidFill>
                    <a:srgbClr val="E5B244"/>
                  </a:solidFill>
                  <a:latin typeface="Kulim Park" pitchFamily="2" charset="0"/>
                  <a:ea typeface="+mn-ea"/>
                  <a:cs typeface="+mn-cs"/>
                </a:rPr>
                <a:t>Department</a:t>
              </a:r>
              <a:endParaRPr lang="en-IN" sz="1600">
                <a:solidFill>
                  <a:srgbClr val="E5B244"/>
                </a:solidFill>
                <a:latin typeface="Kulim Park" pitchFamily="2" charset="0"/>
                <a:ea typeface="+mn-ea"/>
                <a:cs typeface="+mn-cs"/>
              </a:endParaRPr>
            </a:p>
          </xdr:txBody>
        </xdr:sp>
        <xdr:sp macro="" textlink="">
          <xdr:nvSpPr>
            <xdr:cNvPr id="155" name="TextBox 154">
              <a:extLst>
                <a:ext uri="{FF2B5EF4-FFF2-40B4-BE49-F238E27FC236}">
                  <a16:creationId xmlns:a16="http://schemas.microsoft.com/office/drawing/2014/main" id="{82C85003-7ED7-D465-67A2-37A883C06AC6}"/>
                </a:ext>
              </a:extLst>
            </xdr:cNvPr>
            <xdr:cNvSpPr txBox="1"/>
          </xdr:nvSpPr>
          <xdr:spPr>
            <a:xfrm>
              <a:off x="2971253" y="434238"/>
              <a:ext cx="864108" cy="304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solidFill>
                    <a:srgbClr val="E5B244"/>
                  </a:solidFill>
                  <a:latin typeface="Kulim Park" pitchFamily="2" charset="0"/>
                  <a:ea typeface="+mn-ea"/>
                  <a:cs typeface="+mn-cs"/>
                </a:rPr>
                <a:t>   Gender</a:t>
              </a:r>
            </a:p>
          </xdr:txBody>
        </xdr:sp>
      </xdr:grpSp>
      <xdr:sp macro="" textlink="">
        <xdr:nvSpPr>
          <xdr:cNvPr id="154" name="Oval 153">
            <a:extLst>
              <a:ext uri="{FF2B5EF4-FFF2-40B4-BE49-F238E27FC236}">
                <a16:creationId xmlns:a16="http://schemas.microsoft.com/office/drawing/2014/main" id="{122CED93-7054-4289-B8C6-2D45A8AE759E}"/>
              </a:ext>
            </a:extLst>
          </xdr:cNvPr>
          <xdr:cNvSpPr/>
        </xdr:nvSpPr>
        <xdr:spPr>
          <a:xfrm>
            <a:off x="9107143" y="2050350"/>
            <a:ext cx="129262" cy="122011"/>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6" name="Oval 155">
            <a:extLst>
              <a:ext uri="{FF2B5EF4-FFF2-40B4-BE49-F238E27FC236}">
                <a16:creationId xmlns:a16="http://schemas.microsoft.com/office/drawing/2014/main" id="{BE3BF8C5-E472-460C-88A1-353CF3C8C3EC}"/>
              </a:ext>
            </a:extLst>
          </xdr:cNvPr>
          <xdr:cNvSpPr/>
        </xdr:nvSpPr>
        <xdr:spPr>
          <a:xfrm>
            <a:off x="6171721" y="2108278"/>
            <a:ext cx="129263" cy="122011"/>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56.595942361113" createdVersion="8" refreshedVersion="8" minRefreshableVersion="3" recordCount="50" xr:uid="{67FC59D2-1101-4E4E-8AA7-C7059BB035B0}">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798235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s v="Luis Reynolds"/>
    <s v="2019-03-15"/>
    <x v="0"/>
    <x v="0"/>
    <n v="53700"/>
    <s v="C"/>
    <n v="1463"/>
    <s v="Health"/>
    <n v="1"/>
    <n v="1"/>
    <s v="Leadership Training"/>
    <x v="0"/>
    <s v="Certified Professional"/>
  </r>
  <r>
    <n v="9116"/>
    <x v="1"/>
    <x v="1"/>
    <n v="27"/>
    <x v="1"/>
    <x v="1"/>
    <x v="1"/>
    <x v="1"/>
    <s v="Ashley Simmons MD"/>
    <s v="2022-12-20"/>
    <x v="0"/>
    <x v="1"/>
    <n v="91091"/>
    <s v="B"/>
    <n v="1024"/>
    <s v="None"/>
    <n v="19"/>
    <n v="4"/>
    <s v="Excel Workshop"/>
    <x v="0"/>
    <s v="Certified Professional"/>
  </r>
  <r>
    <n v="5120"/>
    <x v="2"/>
    <x v="1"/>
    <n v="34"/>
    <x v="1"/>
    <x v="2"/>
    <x v="2"/>
    <x v="2"/>
    <s v="Cassandra Duncan"/>
    <s v="2022-08-10"/>
    <x v="0"/>
    <x v="2"/>
    <n v="57538"/>
    <s v="D"/>
    <n v="1674"/>
    <s v="None"/>
    <n v="8"/>
    <n v="1"/>
    <s v="None"/>
    <x v="1"/>
    <s v="Advanced Training"/>
  </r>
  <r>
    <n v="8071"/>
    <x v="3"/>
    <x v="0"/>
    <n v="41"/>
    <x v="2"/>
    <x v="2"/>
    <x v="0"/>
    <x v="3"/>
    <s v="Janet Harris"/>
    <s v="2024-09-03"/>
    <x v="1"/>
    <x v="0"/>
    <n v="62993"/>
    <s v="A"/>
    <n v="2695"/>
    <s v="Health + Dental"/>
    <n v="0"/>
    <n v="2"/>
    <s v="None"/>
    <x v="2"/>
    <s v="None"/>
  </r>
  <r>
    <n v="9351"/>
    <x v="4"/>
    <x v="1"/>
    <n v="56"/>
    <x v="3"/>
    <x v="0"/>
    <x v="0"/>
    <x v="2"/>
    <s v="Mr. Frank Clay"/>
    <s v="2019-03-14"/>
    <x v="1"/>
    <x v="1"/>
    <n v="45773"/>
    <s v="A"/>
    <n v="8776"/>
    <s v="Health"/>
    <n v="16"/>
    <n v="4"/>
    <s v="Leadership Training"/>
    <x v="2"/>
    <s v="None"/>
  </r>
  <r>
    <n v="2873"/>
    <x v="5"/>
    <x v="0"/>
    <n v="28"/>
    <x v="1"/>
    <x v="2"/>
    <x v="3"/>
    <x v="2"/>
    <s v="Dorothy Price"/>
    <s v="2017-01-23"/>
    <x v="0"/>
    <x v="1"/>
    <n v="96249"/>
    <s v="C"/>
    <n v="4826"/>
    <s v="Health + Dental"/>
    <n v="7"/>
    <n v="3"/>
    <s v="Leadership Training"/>
    <x v="3"/>
    <s v="Certified Professional"/>
  </r>
  <r>
    <n v="3540"/>
    <x v="6"/>
    <x v="0"/>
    <n v="20"/>
    <x v="0"/>
    <x v="1"/>
    <x v="2"/>
    <x v="2"/>
    <s v="Michele Sexton"/>
    <s v="2024-08-17"/>
    <x v="0"/>
    <x v="2"/>
    <n v="61596"/>
    <s v="C"/>
    <n v="8818"/>
    <s v="Health + Dental"/>
    <n v="4"/>
    <n v="2"/>
    <s v="Leadership Training"/>
    <x v="1"/>
    <s v="None"/>
  </r>
  <r>
    <n v="3653"/>
    <x v="7"/>
    <x v="0"/>
    <n v="58"/>
    <x v="3"/>
    <x v="3"/>
    <x v="1"/>
    <x v="4"/>
    <s v="Richard Schmidt"/>
    <s v="2014-12-09"/>
    <x v="0"/>
    <x v="2"/>
    <n v="97869"/>
    <s v="A"/>
    <n v="1966"/>
    <s v="Health"/>
    <n v="10"/>
    <n v="1"/>
    <s v="Leadership Training"/>
    <x v="0"/>
    <s v="Certified Professional"/>
  </r>
  <r>
    <n v="5587"/>
    <x v="8"/>
    <x v="0"/>
    <n v="44"/>
    <x v="2"/>
    <x v="3"/>
    <x v="2"/>
    <x v="2"/>
    <s v="Teresa Pearson"/>
    <s v="2021-06-28"/>
    <x v="0"/>
    <x v="0"/>
    <n v="81235"/>
    <s v="A"/>
    <n v="6553"/>
    <s v="None"/>
    <n v="16"/>
    <n v="2"/>
    <s v="None"/>
    <x v="1"/>
    <s v="Certified Professional"/>
  </r>
  <r>
    <n v="9554"/>
    <x v="9"/>
    <x v="0"/>
    <n v="29"/>
    <x v="1"/>
    <x v="1"/>
    <x v="2"/>
    <x v="3"/>
    <s v="Laura Hart"/>
    <s v="2018-05-20"/>
    <x v="0"/>
    <x v="1"/>
    <n v="87852"/>
    <s v="A"/>
    <n v="4980"/>
    <s v="Health + Dental"/>
    <n v="19"/>
    <n v="3"/>
    <s v="None"/>
    <x v="2"/>
    <s v="Certified Professional"/>
  </r>
  <r>
    <n v="6213"/>
    <x v="10"/>
    <x v="1"/>
    <n v="23"/>
    <x v="0"/>
    <x v="3"/>
    <x v="0"/>
    <x v="2"/>
    <s v="Andrea May"/>
    <s v="2017-02-13"/>
    <x v="1"/>
    <x v="1"/>
    <n v="59359"/>
    <s v="A"/>
    <n v="9449"/>
    <s v="Health + Dental"/>
    <n v="20"/>
    <n v="3"/>
    <s v="None"/>
    <x v="1"/>
    <s v="None"/>
  </r>
  <r>
    <n v="9105"/>
    <x v="11"/>
    <x v="1"/>
    <n v="30"/>
    <x v="1"/>
    <x v="0"/>
    <x v="1"/>
    <x v="0"/>
    <s v="Casey Martin"/>
    <s v="2024-05-05"/>
    <x v="1"/>
    <x v="2"/>
    <n v="81225"/>
    <s v="D"/>
    <n v="6202"/>
    <s v="Health + Dental"/>
    <n v="2"/>
    <n v="2"/>
    <s v="Excel Workshop"/>
    <x v="4"/>
    <s v="Certified Professional"/>
  </r>
  <r>
    <n v="9508"/>
    <x v="12"/>
    <x v="0"/>
    <n v="49"/>
    <x v="4"/>
    <x v="1"/>
    <x v="0"/>
    <x v="0"/>
    <s v="Amber Allen"/>
    <s v="2022-04-19"/>
    <x v="1"/>
    <x v="0"/>
    <n v="32788"/>
    <s v="D"/>
    <n v="4396"/>
    <s v="Health"/>
    <n v="13"/>
    <n v="5"/>
    <s v="None"/>
    <x v="3"/>
    <s v="Advanced Training"/>
  </r>
  <r>
    <n v="2436"/>
    <x v="13"/>
    <x v="1"/>
    <n v="60"/>
    <x v="3"/>
    <x v="4"/>
    <x v="0"/>
    <x v="3"/>
    <s v="Adam Johnson"/>
    <s v="2015-11-16"/>
    <x v="1"/>
    <x v="2"/>
    <n v="70452"/>
    <s v="D"/>
    <n v="9911"/>
    <s v="None"/>
    <n v="2"/>
    <n v="1"/>
    <s v="None"/>
    <x v="3"/>
    <s v="Certified Professional"/>
  </r>
  <r>
    <n v="4441"/>
    <x v="14"/>
    <x v="1"/>
    <n v="46"/>
    <x v="4"/>
    <x v="1"/>
    <x v="3"/>
    <x v="0"/>
    <s v="Nicole Dominguez"/>
    <s v="2023-09-09"/>
    <x v="0"/>
    <x v="1"/>
    <n v="33045"/>
    <s v="B"/>
    <n v="1456"/>
    <s v="None"/>
    <n v="16"/>
    <n v="3"/>
    <s v="Excel Workshop"/>
    <x v="3"/>
    <s v="None"/>
  </r>
  <r>
    <n v="5827"/>
    <x v="15"/>
    <x v="1"/>
    <n v="57"/>
    <x v="3"/>
    <x v="2"/>
    <x v="3"/>
    <x v="1"/>
    <s v="Andrew Best"/>
    <s v="2017-12-12"/>
    <x v="2"/>
    <x v="2"/>
    <n v="96429"/>
    <s v="C"/>
    <n v="4740"/>
    <s v="None"/>
    <n v="8"/>
    <n v="1"/>
    <s v="Excel Workshop"/>
    <x v="2"/>
    <s v="None"/>
  </r>
  <r>
    <n v="5184"/>
    <x v="16"/>
    <x v="0"/>
    <n v="24"/>
    <x v="0"/>
    <x v="1"/>
    <x v="2"/>
    <x v="2"/>
    <s v="Gabrielle Rodriguez"/>
    <s v="2017-03-10"/>
    <x v="2"/>
    <x v="2"/>
    <n v="33183"/>
    <s v="A"/>
    <n v="8114"/>
    <s v="None"/>
    <n v="4"/>
    <n v="2"/>
    <s v="Excel Workshop"/>
    <x v="4"/>
    <s v="Advanced Training"/>
  </r>
  <r>
    <n v="5874"/>
    <x v="3"/>
    <x v="0"/>
    <n v="35"/>
    <x v="1"/>
    <x v="4"/>
    <x v="3"/>
    <x v="0"/>
    <s v="Allison Harvey"/>
    <s v="2019-03-04"/>
    <x v="2"/>
    <x v="0"/>
    <n v="75065"/>
    <s v="C"/>
    <n v="7123"/>
    <s v="None"/>
    <n v="20"/>
    <n v="2"/>
    <s v="None"/>
    <x v="0"/>
    <s v="Advanced Training"/>
  </r>
  <r>
    <n v="9834"/>
    <x v="17"/>
    <x v="1"/>
    <n v="41"/>
    <x v="2"/>
    <x v="1"/>
    <x v="1"/>
    <x v="4"/>
    <s v="Tristan Mejia"/>
    <s v="2022-11-20"/>
    <x v="0"/>
    <x v="2"/>
    <n v="32877"/>
    <s v="C"/>
    <n v="6432"/>
    <s v="Health"/>
    <n v="11"/>
    <n v="1"/>
    <s v="None"/>
    <x v="0"/>
    <s v="None"/>
  </r>
  <r>
    <n v="5096"/>
    <x v="18"/>
    <x v="1"/>
    <n v="36"/>
    <x v="2"/>
    <x v="1"/>
    <x v="4"/>
    <x v="3"/>
    <s v="Mary Welch"/>
    <s v="2021-03-02"/>
    <x v="0"/>
    <x v="1"/>
    <n v="46811"/>
    <s v="D"/>
    <n v="1567"/>
    <s v="None"/>
    <n v="7"/>
    <n v="3"/>
    <s v="Excel Workshop"/>
    <x v="0"/>
    <s v="Advanced Training"/>
  </r>
  <r>
    <n v="2263"/>
    <x v="19"/>
    <x v="1"/>
    <n v="31"/>
    <x v="1"/>
    <x v="3"/>
    <x v="2"/>
    <x v="1"/>
    <s v="Douglas Miles"/>
    <s v="2021-08-01"/>
    <x v="1"/>
    <x v="1"/>
    <n v="87538"/>
    <s v="C"/>
    <n v="3588"/>
    <s v="Health + Dental"/>
    <n v="11"/>
    <n v="5"/>
    <s v="Excel Workshop"/>
    <x v="2"/>
    <s v="None"/>
  </r>
  <r>
    <n v="6505"/>
    <x v="20"/>
    <x v="0"/>
    <n v="28"/>
    <x v="1"/>
    <x v="0"/>
    <x v="1"/>
    <x v="4"/>
    <s v="Jessica Fleming"/>
    <s v="2015-08-14"/>
    <x v="0"/>
    <x v="1"/>
    <n v="73002"/>
    <s v="C"/>
    <n v="6296"/>
    <s v="Health"/>
    <n v="2"/>
    <n v="5"/>
    <s v="Excel Workshop"/>
    <x v="1"/>
    <s v="Certified Professional"/>
  </r>
  <r>
    <n v="8626"/>
    <x v="21"/>
    <x v="1"/>
    <n v="37"/>
    <x v="2"/>
    <x v="3"/>
    <x v="1"/>
    <x v="3"/>
    <s v="Christine Lee"/>
    <s v="2015-10-21"/>
    <x v="2"/>
    <x v="2"/>
    <n v="41653"/>
    <s v="D"/>
    <n v="9236"/>
    <s v="None"/>
    <n v="13"/>
    <n v="1"/>
    <s v="Excel Workshop"/>
    <x v="0"/>
    <s v="None"/>
  </r>
  <r>
    <n v="5979"/>
    <x v="22"/>
    <x v="0"/>
    <n v="31"/>
    <x v="1"/>
    <x v="0"/>
    <x v="0"/>
    <x v="2"/>
    <s v="Mario Smith DVM"/>
    <s v="2015-03-14"/>
    <x v="1"/>
    <x v="1"/>
    <n v="67582"/>
    <s v="A"/>
    <n v="1375"/>
    <s v="Health"/>
    <n v="20"/>
    <n v="3"/>
    <s v="Excel Workshop"/>
    <x v="1"/>
    <s v="None"/>
  </r>
  <r>
    <n v="3104"/>
    <x v="23"/>
    <x v="0"/>
    <n v="23"/>
    <x v="0"/>
    <x v="3"/>
    <x v="1"/>
    <x v="1"/>
    <s v="Joseph Francis"/>
    <s v="2024-05-22"/>
    <x v="2"/>
    <x v="1"/>
    <n v="37351"/>
    <s v="D"/>
    <n v="7858"/>
    <s v="Health + Dental"/>
    <n v="18"/>
    <n v="2"/>
    <s v="Leadership Training"/>
    <x v="1"/>
    <s v="Advanced Training"/>
  </r>
  <r>
    <n v="8967"/>
    <x v="24"/>
    <x v="0"/>
    <n v="48"/>
    <x v="4"/>
    <x v="4"/>
    <x v="2"/>
    <x v="0"/>
    <s v="Sarah Young"/>
    <s v="2017-03-19"/>
    <x v="0"/>
    <x v="1"/>
    <n v="36721"/>
    <s v="B"/>
    <n v="8820"/>
    <s v="Health + Dental"/>
    <n v="0"/>
    <n v="2"/>
    <s v="Excel Workshop"/>
    <x v="1"/>
    <s v="Certified Professional"/>
  </r>
  <r>
    <n v="5087"/>
    <x v="25"/>
    <x v="1"/>
    <n v="28"/>
    <x v="1"/>
    <x v="2"/>
    <x v="4"/>
    <x v="0"/>
    <s v="Aaron Hart"/>
    <s v="2021-09-15"/>
    <x v="1"/>
    <x v="2"/>
    <n v="46326"/>
    <s v="B"/>
    <n v="9189"/>
    <s v="Health + Dental"/>
    <n v="8"/>
    <n v="4"/>
    <s v="Leadership Training"/>
    <x v="3"/>
    <s v="Advanced Training"/>
  </r>
  <r>
    <n v="3358"/>
    <x v="26"/>
    <x v="1"/>
    <n v="30"/>
    <x v="1"/>
    <x v="1"/>
    <x v="3"/>
    <x v="1"/>
    <s v="Brian Boyd"/>
    <s v="2022-05-09"/>
    <x v="0"/>
    <x v="0"/>
    <n v="59007"/>
    <s v="C"/>
    <n v="3380"/>
    <s v="Health"/>
    <n v="17"/>
    <n v="3"/>
    <s v="None"/>
    <x v="4"/>
    <s v="Certified Professional"/>
  </r>
  <r>
    <n v="8256"/>
    <x v="27"/>
    <x v="1"/>
    <n v="46"/>
    <x v="4"/>
    <x v="3"/>
    <x v="0"/>
    <x v="3"/>
    <s v="Steven Krueger"/>
    <s v="2017-06-22"/>
    <x v="0"/>
    <x v="1"/>
    <n v="52020"/>
    <s v="B"/>
    <n v="9585"/>
    <s v="Health + Dental"/>
    <n v="0"/>
    <n v="4"/>
    <s v="Excel Workshop"/>
    <x v="4"/>
    <s v="None"/>
  </r>
  <r>
    <n v="5763"/>
    <x v="28"/>
    <x v="1"/>
    <n v="44"/>
    <x v="2"/>
    <x v="1"/>
    <x v="2"/>
    <x v="1"/>
    <s v="Debra Williams"/>
    <s v="2020-11-28"/>
    <x v="2"/>
    <x v="1"/>
    <n v="98961"/>
    <s v="D"/>
    <n v="2688"/>
    <s v="Health"/>
    <n v="2"/>
    <n v="5"/>
    <s v="Excel Workshop"/>
    <x v="4"/>
    <s v="Certified Professional"/>
  </r>
  <r>
    <n v="6838"/>
    <x v="29"/>
    <x v="1"/>
    <n v="45"/>
    <x v="2"/>
    <x v="2"/>
    <x v="3"/>
    <x v="2"/>
    <s v="Karen Mitchell"/>
    <s v="2015-08-30"/>
    <x v="2"/>
    <x v="1"/>
    <n v="81943"/>
    <s v="C"/>
    <n v="2255"/>
    <s v="Health"/>
    <n v="18"/>
    <n v="2"/>
    <s v="None"/>
    <x v="2"/>
    <s v="Certified Professional"/>
  </r>
  <r>
    <n v="9544"/>
    <x v="30"/>
    <x v="1"/>
    <n v="52"/>
    <x v="4"/>
    <x v="4"/>
    <x v="2"/>
    <x v="1"/>
    <s v="Joseph Sanders"/>
    <s v="2018-10-27"/>
    <x v="2"/>
    <x v="1"/>
    <n v="47627"/>
    <s v="C"/>
    <n v="1221"/>
    <s v="None"/>
    <n v="4"/>
    <n v="3"/>
    <s v="None"/>
    <x v="1"/>
    <s v="None"/>
  </r>
  <r>
    <n v="8012"/>
    <x v="31"/>
    <x v="0"/>
    <n v="52"/>
    <x v="4"/>
    <x v="0"/>
    <x v="0"/>
    <x v="4"/>
    <s v="Shelly George"/>
    <s v="2018-08-26"/>
    <x v="2"/>
    <x v="1"/>
    <n v="56162"/>
    <s v="D"/>
    <n v="6560"/>
    <s v="Health + Dental"/>
    <n v="9"/>
    <n v="4"/>
    <s v="Excel Workshop"/>
    <x v="3"/>
    <s v="None"/>
  </r>
  <r>
    <n v="9374"/>
    <x v="32"/>
    <x v="0"/>
    <n v="42"/>
    <x v="2"/>
    <x v="1"/>
    <x v="2"/>
    <x v="2"/>
    <s v="Nicole Houston"/>
    <s v="2023-07-24"/>
    <x v="1"/>
    <x v="2"/>
    <n v="95734"/>
    <s v="C"/>
    <n v="4854"/>
    <s v="Health"/>
    <n v="13"/>
    <n v="2"/>
    <s v="Leadership Training"/>
    <x v="0"/>
    <s v="Certified Professional"/>
  </r>
  <r>
    <n v="3487"/>
    <x v="33"/>
    <x v="1"/>
    <n v="58"/>
    <x v="3"/>
    <x v="1"/>
    <x v="1"/>
    <x v="3"/>
    <s v="Kristin Shaffer"/>
    <s v="2018-07-09"/>
    <x v="1"/>
    <x v="2"/>
    <n v="74789"/>
    <s v="C"/>
    <n v="8101"/>
    <s v="Health + Dental"/>
    <n v="14"/>
    <n v="5"/>
    <s v="Excel Workshop"/>
    <x v="2"/>
    <s v="None"/>
  </r>
  <r>
    <n v="8445"/>
    <x v="34"/>
    <x v="0"/>
    <n v="24"/>
    <x v="0"/>
    <x v="4"/>
    <x v="0"/>
    <x v="3"/>
    <s v="Joel Aguilar"/>
    <s v="2016-12-21"/>
    <x v="0"/>
    <x v="2"/>
    <n v="30137"/>
    <s v="B"/>
    <n v="4031"/>
    <s v="None"/>
    <n v="5"/>
    <n v="3"/>
    <s v="None"/>
    <x v="1"/>
    <s v="Certified Professional"/>
  </r>
  <r>
    <n v="1550"/>
    <x v="35"/>
    <x v="1"/>
    <n v="21"/>
    <x v="0"/>
    <x v="1"/>
    <x v="0"/>
    <x v="0"/>
    <s v="Michael Wade"/>
    <s v="2019-06-27"/>
    <x v="0"/>
    <x v="2"/>
    <n v="95510"/>
    <s v="C"/>
    <n v="6811"/>
    <s v="Health"/>
    <n v="18"/>
    <n v="4"/>
    <s v="Excel Workshop"/>
    <x v="4"/>
    <s v="Certified Professional"/>
  </r>
  <r>
    <n v="9968"/>
    <x v="36"/>
    <x v="1"/>
    <n v="58"/>
    <x v="3"/>
    <x v="1"/>
    <x v="3"/>
    <x v="0"/>
    <s v="Jessica Walsh"/>
    <s v="2021-08-27"/>
    <x v="1"/>
    <x v="0"/>
    <n v="80325"/>
    <s v="B"/>
    <n v="6230"/>
    <s v="Health"/>
    <n v="5"/>
    <n v="4"/>
    <s v="None"/>
    <x v="2"/>
    <s v="Advanced Training"/>
  </r>
  <r>
    <n v="8029"/>
    <x v="37"/>
    <x v="0"/>
    <n v="57"/>
    <x v="3"/>
    <x v="3"/>
    <x v="4"/>
    <x v="4"/>
    <s v="Kelly Mack"/>
    <s v="2017-05-28"/>
    <x v="2"/>
    <x v="1"/>
    <n v="34109"/>
    <s v="B"/>
    <n v="9232"/>
    <s v="Health"/>
    <n v="13"/>
    <n v="3"/>
    <s v="Leadership Training"/>
    <x v="0"/>
    <s v="Certified Professional"/>
  </r>
  <r>
    <n v="8847"/>
    <x v="38"/>
    <x v="1"/>
    <n v="41"/>
    <x v="2"/>
    <x v="3"/>
    <x v="3"/>
    <x v="0"/>
    <s v="John Conley"/>
    <s v="2022-01-30"/>
    <x v="2"/>
    <x v="2"/>
    <n v="73330"/>
    <s v="C"/>
    <n v="2276"/>
    <s v="Health + Dental"/>
    <n v="5"/>
    <n v="1"/>
    <s v="None"/>
    <x v="1"/>
    <s v="Advanced Training"/>
  </r>
  <r>
    <n v="1955"/>
    <x v="39"/>
    <x v="0"/>
    <n v="58"/>
    <x v="3"/>
    <x v="2"/>
    <x v="2"/>
    <x v="1"/>
    <s v="Aaron Baker"/>
    <s v="2017-04-20"/>
    <x v="1"/>
    <x v="2"/>
    <n v="46567"/>
    <s v="A"/>
    <n v="2825"/>
    <s v="Health"/>
    <n v="15"/>
    <n v="3"/>
    <s v="None"/>
    <x v="4"/>
    <s v="Advanced Training"/>
  </r>
  <r>
    <n v="4522"/>
    <x v="40"/>
    <x v="0"/>
    <n v="36"/>
    <x v="2"/>
    <x v="0"/>
    <x v="4"/>
    <x v="0"/>
    <s v="Christopher Bass"/>
    <s v="2019-07-22"/>
    <x v="1"/>
    <x v="1"/>
    <n v="39795"/>
    <s v="A"/>
    <n v="1670"/>
    <s v="None"/>
    <n v="0"/>
    <n v="2"/>
    <s v="Excel Workshop"/>
    <x v="3"/>
    <s v="None"/>
  </r>
  <r>
    <n v="3078"/>
    <x v="41"/>
    <x v="0"/>
    <n v="21"/>
    <x v="0"/>
    <x v="0"/>
    <x v="0"/>
    <x v="4"/>
    <s v="Sean Tucker PhD"/>
    <s v="2018-11-29"/>
    <x v="1"/>
    <x v="2"/>
    <n v="59506"/>
    <s v="A"/>
    <n v="4428"/>
    <s v="Health + Dental"/>
    <n v="0"/>
    <n v="1"/>
    <s v="None"/>
    <x v="3"/>
    <s v="Certified Professional"/>
  </r>
  <r>
    <n v="6357"/>
    <x v="42"/>
    <x v="0"/>
    <n v="46"/>
    <x v="4"/>
    <x v="2"/>
    <x v="1"/>
    <x v="4"/>
    <s v="Jacob Scott"/>
    <s v="2022-11-14"/>
    <x v="1"/>
    <x v="2"/>
    <n v="49058"/>
    <s v="B"/>
    <n v="4396"/>
    <s v="None"/>
    <n v="5"/>
    <n v="1"/>
    <s v="None"/>
    <x v="3"/>
    <s v="None"/>
  </r>
  <r>
    <n v="7951"/>
    <x v="43"/>
    <x v="0"/>
    <n v="36"/>
    <x v="2"/>
    <x v="3"/>
    <x v="2"/>
    <x v="4"/>
    <s v="Joel Park"/>
    <s v="2016-02-23"/>
    <x v="1"/>
    <x v="0"/>
    <n v="98612"/>
    <s v="A"/>
    <n v="1168"/>
    <s v="None"/>
    <n v="9"/>
    <n v="2"/>
    <s v="Excel Workshop"/>
    <x v="0"/>
    <s v="Certified Professional"/>
  </r>
  <r>
    <n v="9228"/>
    <x v="44"/>
    <x v="1"/>
    <n v="41"/>
    <x v="2"/>
    <x v="4"/>
    <x v="3"/>
    <x v="1"/>
    <s v="Russell Marshall"/>
    <s v="2018-05-18"/>
    <x v="2"/>
    <x v="1"/>
    <n v="38201"/>
    <s v="A"/>
    <n v="7111"/>
    <s v="Health"/>
    <n v="8"/>
    <n v="4"/>
    <s v="Leadership Training"/>
    <x v="3"/>
    <s v="None"/>
  </r>
  <r>
    <n v="8988"/>
    <x v="45"/>
    <x v="1"/>
    <n v="25"/>
    <x v="0"/>
    <x v="0"/>
    <x v="2"/>
    <x v="2"/>
    <s v="James Holden"/>
    <s v="2024-03-09"/>
    <x v="2"/>
    <x v="1"/>
    <n v="92919"/>
    <s v="D"/>
    <n v="9497"/>
    <s v="Health"/>
    <n v="7"/>
    <n v="2"/>
    <s v="None"/>
    <x v="3"/>
    <s v="Advanced Training"/>
  </r>
  <r>
    <n v="1952"/>
    <x v="46"/>
    <x v="0"/>
    <n v="29"/>
    <x v="1"/>
    <x v="4"/>
    <x v="0"/>
    <x v="1"/>
    <s v="Thomas Murphy"/>
    <s v="2024-03-27"/>
    <x v="0"/>
    <x v="2"/>
    <n v="45188"/>
    <s v="A"/>
    <n v="9591"/>
    <s v="Health + Dental"/>
    <n v="18"/>
    <n v="3"/>
    <s v="Leadership Training"/>
    <x v="3"/>
    <s v="None"/>
  </r>
  <r>
    <n v="5760"/>
    <x v="47"/>
    <x v="0"/>
    <n v="59"/>
    <x v="3"/>
    <x v="2"/>
    <x v="1"/>
    <x v="0"/>
    <s v="Mark Abbott"/>
    <s v="2019-12-23"/>
    <x v="0"/>
    <x v="1"/>
    <n v="34927"/>
    <s v="D"/>
    <n v="6996"/>
    <s v="Health + Dental"/>
    <n v="16"/>
    <n v="1"/>
    <s v="Excel Workshop"/>
    <x v="0"/>
    <s v="Certified Professional"/>
  </r>
  <r>
    <n v="5742"/>
    <x v="48"/>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986000-1536-44C1-B359-1CA76F743B7E}" name="work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532356-4AE2-4998-BCC8-86E06BA97655}" name="Employement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80E011-4FEF-47DF-9AEA-2F8F18C49C92}" name="region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V4:W10"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900FAE-2D6D-496E-AE47-D4A2FCBA83E1}" name="ski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10"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E57EA2-6CE6-43F5-BAB4-C436A445E9A9}" name="age ran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L10"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B6202F-4B9B-4339-846B-E7EBA5A7A65F}" name="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9"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7">
    <format dxfId="695">
      <pivotArea collapsedLevelsAreSubtotals="1" fieldPosition="0">
        <references count="1">
          <reference field="6" count="0"/>
        </references>
      </pivotArea>
    </format>
    <format dxfId="694">
      <pivotArea collapsedLevelsAreSubtotals="1" fieldPosition="0">
        <references count="2">
          <reference field="4294967294" count="1" selected="0">
            <x v="0"/>
          </reference>
          <reference field="6" count="1">
            <x v="3"/>
          </reference>
        </references>
      </pivotArea>
    </format>
    <format dxfId="693">
      <pivotArea collapsedLevelsAreSubtotals="1" fieldPosition="0">
        <references count="2">
          <reference field="4294967294" count="1" selected="0">
            <x v="0"/>
          </reference>
          <reference field="6" count="1">
            <x v="2"/>
          </reference>
        </references>
      </pivotArea>
    </format>
    <format dxfId="692">
      <pivotArea collapsedLevelsAreSubtotals="1" fieldPosition="0">
        <references count="2">
          <reference field="4294967294" count="1" selected="0">
            <x v="0"/>
          </reference>
          <reference field="6" count="1">
            <x v="1"/>
          </reference>
        </references>
      </pivotArea>
    </format>
    <format dxfId="691">
      <pivotArea collapsedLevelsAreSubtotals="1" fieldPosition="0">
        <references count="2">
          <reference field="4294967294" count="1" selected="0">
            <x v="0"/>
          </reference>
          <reference field="6" count="1">
            <x v="0"/>
          </reference>
        </references>
      </pivotArea>
    </format>
    <format dxfId="690">
      <pivotArea collapsedLevelsAreSubtotals="1" fieldPosition="0">
        <references count="2">
          <reference field="4294967294" count="1" selected="0">
            <x v="0"/>
          </reference>
          <reference field="6" count="1">
            <x v="4"/>
          </reference>
        </references>
      </pivotArea>
    </format>
    <format dxfId="689">
      <pivotArea field="6"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3440C2-6BDA-44F4-BE3E-9F8DE5DC36D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4:Z10"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4"/>
  </dataFields>
  <formats count="6">
    <format dxfId="701">
      <pivotArea collapsedLevelsAreSubtotals="1" fieldPosition="0">
        <references count="1">
          <reference field="7" count="1">
            <x v="0"/>
          </reference>
        </references>
      </pivotArea>
    </format>
    <format dxfId="700">
      <pivotArea collapsedLevelsAreSubtotals="1" fieldPosition="0">
        <references count="1">
          <reference field="7" count="1">
            <x v="1"/>
          </reference>
        </references>
      </pivotArea>
    </format>
    <format dxfId="699">
      <pivotArea collapsedLevelsAreSubtotals="1" fieldPosition="0">
        <references count="1">
          <reference field="7" count="1">
            <x v="3"/>
          </reference>
        </references>
      </pivotArea>
    </format>
    <format dxfId="698">
      <pivotArea collapsedLevelsAreSubtotals="1" fieldPosition="0">
        <references count="1">
          <reference field="7" count="1">
            <x v="2"/>
          </reference>
        </references>
      </pivotArea>
    </format>
    <format dxfId="697">
      <pivotArea collapsedLevelsAreSubtotals="1" fieldPosition="0">
        <references count="1">
          <reference field="7" count="1">
            <x v="4"/>
          </reference>
        </references>
      </pivotArea>
    </format>
    <format dxfId="69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4359C72-06A2-40BB-AE23-9A1DA4FEACB8}" sourceName="Gender">
  <pivotTables>
    <pivotTable tabId="2" name="salaries"/>
    <pivotTable tabId="2" name="Employement status"/>
    <pivotTable tabId="2" name="PivotTable11"/>
    <pivotTable tabId="2" name="region table"/>
    <pivotTable tabId="2" name="skills"/>
    <pivotTable tabId="2" name="work location"/>
  </pivotTables>
  <data>
    <tabular pivotCacheId="7982352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254F34D-289B-4DD1-A59B-C5AEC624A76F}" sourceName="Department">
  <pivotTables>
    <pivotTable tabId="2" name="salaries"/>
    <pivotTable tabId="2" name="age range"/>
    <pivotTable tabId="2" name="Employement status"/>
    <pivotTable tabId="2" name="PivotTable11"/>
    <pivotTable tabId="2" name="region table"/>
    <pivotTable tabId="2" name="skills"/>
    <pivotTable tabId="2" name="work location"/>
  </pivotTables>
  <data>
    <tabular pivotCacheId="798235260">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9CE1BBF-7ACA-4420-AC50-5E3242DBDFBF}" cache="Slicer_Gender" caption="Gender" style="Slicer Style 1" rowHeight="257175"/>
  <slicer name="Department" xr10:uid="{76744EBC-FA24-43B8-B626-CDCB9E15741E}" cache="Slicer_Department" caption="Department" columnCount="3"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724" dataDxfId="723">
  <autoFilter ref="A1:U51" xr:uid="{BD7F130C-4931-4EC9-8AE2-A64F6556D3A3}"/>
  <tableColumns count="21">
    <tableColumn id="1" xr3:uid="{6BDBB43D-1DF4-4FF3-9C56-0E3D699A83FC}" name="Employee ID" dataDxfId="722"/>
    <tableColumn id="2" xr3:uid="{363D91B7-21AD-4B4B-86DE-95D24769EAA5}" name="Full Name" dataDxfId="721"/>
    <tableColumn id="3" xr3:uid="{728245EC-9766-45F5-9851-7FEFEFBE2652}" name="Gender" dataDxfId="720"/>
    <tableColumn id="4" xr3:uid="{DD8A90D1-163F-4B0E-A039-9E7A16AFC106}" name="Age" dataDxfId="719"/>
    <tableColumn id="5" xr3:uid="{0672993B-A00D-49AE-84B7-674089468A17}" name="Age range" dataDxfId="718"/>
    <tableColumn id="6" xr3:uid="{B1ADEE80-60F1-4EE3-B3FB-8484EE6C17B3}" name="Region" dataDxfId="717"/>
    <tableColumn id="7" xr3:uid="{8E0A56EE-3456-4513-ADA0-27F6CAA8C17B}" name="Job Title" dataDxfId="716"/>
    <tableColumn id="8" xr3:uid="{0D9D5DB9-01CB-4300-B0CD-256901621ADC}" name="Department" dataDxfId="715"/>
    <tableColumn id="9" xr3:uid="{9EBDAC3F-6A39-4A78-B562-848691EE3AD1}" name="Manager/Supervisor" dataDxfId="714"/>
    <tableColumn id="10" xr3:uid="{AF849F24-150A-4123-B3F8-A46B4D4F7BC6}" name="Date of Hire" dataDxfId="713"/>
    <tableColumn id="11" xr3:uid="{8C57202E-334A-462A-9C44-E5E2468122E4}" name="Employment Status" dataDxfId="712"/>
    <tableColumn id="12" xr3:uid="{8A07812C-245C-4D55-A210-3AE7E0BB84EB}" name="Work Location" dataDxfId="711"/>
    <tableColumn id="13" xr3:uid="{6441036C-01DD-4130-8E4B-DBA441BCB744}" name="Salary" dataDxfId="710"/>
    <tableColumn id="14" xr3:uid="{ADCF531A-A98E-422C-939D-04D58C2423FB}" name="Pay Grade" dataDxfId="709"/>
    <tableColumn id="15" xr3:uid="{DE922695-AE31-4F31-8F89-61E6E7E646AB}" name="Bonus/Allowances" dataDxfId="708"/>
    <tableColumn id="16" xr3:uid="{62F2B816-9954-4A01-AEDC-4C13B3A2A52F}" name="Insurance Details" dataDxfId="707"/>
    <tableColumn id="17" xr3:uid="{6EFEC335-9B75-45D5-B403-A8A9E557BE24}" name="Leave Taken" dataDxfId="706"/>
    <tableColumn id="18" xr3:uid="{9DA1B78E-154E-42E4-A1BC-FE1CF363DCBA}" name="Performance Rating" dataDxfId="705"/>
    <tableColumn id="19" xr3:uid="{7E4B5E79-5639-4E3A-91A1-D1D8767BB705}" name="Training Programs Attended" dataDxfId="704"/>
    <tableColumn id="20" xr3:uid="{2E731344-8C6D-4001-9E36-F16B80500F61}" name="Skills" dataDxfId="703"/>
    <tableColumn id="21" xr3:uid="{9DCE550B-F788-4423-B330-CAB70C041DFC}" name="Certifications" dataDxfId="70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zoomScale="84" workbookViewId="0">
      <selection activeCell="W8" sqref="W8"/>
    </sheetView>
  </sheetViews>
  <sheetFormatPr defaultRowHeight="15" x14ac:dyDescent="0.25"/>
  <cols>
    <col min="1" max="1" width="17.7109375" style="2" bestFit="1" customWidth="1"/>
    <col min="2" max="2" width="18.140625" style="2" bestFit="1" customWidth="1"/>
    <col min="3" max="3" width="12.85546875" style="2" bestFit="1" customWidth="1"/>
    <col min="4" max="4" width="9.5703125" style="2" bestFit="1" customWidth="1"/>
    <col min="5" max="5" width="15.85546875" style="2" bestFit="1" customWidth="1"/>
    <col min="6" max="6" width="12.28515625" style="2" bestFit="1" customWidth="1"/>
    <col min="7" max="7" width="14.140625" style="2" bestFit="1" customWidth="1"/>
    <col min="8" max="8" width="17.42578125" style="2" bestFit="1" customWidth="1"/>
    <col min="9" max="9" width="25.7109375" style="2" bestFit="1" customWidth="1"/>
    <col min="10" max="10" width="18" style="2" bestFit="1" customWidth="1"/>
    <col min="11" max="11" width="25" style="2" bestFit="1" customWidth="1"/>
    <col min="12" max="12" width="20.28515625" style="2" bestFit="1" customWidth="1"/>
    <col min="13" max="13" width="11.85546875" style="2" bestFit="1" customWidth="1"/>
    <col min="14" max="14" width="16.140625" style="2" bestFit="1" customWidth="1"/>
    <col min="15" max="15" width="24" style="2" bestFit="1" customWidth="1"/>
    <col min="16" max="16" width="22.7109375" style="2" bestFit="1" customWidth="1"/>
    <col min="17" max="17" width="18.140625" style="2" bestFit="1" customWidth="1"/>
    <col min="18" max="18" width="25.42578125" style="2" bestFit="1" customWidth="1"/>
    <col min="19" max="19" width="34" style="2" bestFit="1" customWidth="1"/>
    <col min="20" max="20" width="16" style="2" bestFit="1" customWidth="1"/>
    <col min="21" max="21" width="21.140625" style="2" bestFit="1" customWidth="1"/>
    <col min="22" max="16384" width="9.140625" style="2"/>
  </cols>
  <sheetData>
    <row r="1" spans="1:21" ht="43.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x14ac:dyDescent="0.25">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x14ac:dyDescent="0.25">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x14ac:dyDescent="0.25">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x14ac:dyDescent="0.25">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x14ac:dyDescent="0.25">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x14ac:dyDescent="0.25">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x14ac:dyDescent="0.25">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x14ac:dyDescent="0.25">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x14ac:dyDescent="0.25">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x14ac:dyDescent="0.25">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x14ac:dyDescent="0.25">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x14ac:dyDescent="0.25">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x14ac:dyDescent="0.25">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x14ac:dyDescent="0.25">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x14ac:dyDescent="0.25">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x14ac:dyDescent="0.25">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x14ac:dyDescent="0.25">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x14ac:dyDescent="0.25">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x14ac:dyDescent="0.25">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x14ac:dyDescent="0.25">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x14ac:dyDescent="0.25">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x14ac:dyDescent="0.25">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x14ac:dyDescent="0.25">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x14ac:dyDescent="0.25">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x14ac:dyDescent="0.25">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x14ac:dyDescent="0.25">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x14ac:dyDescent="0.25">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x14ac:dyDescent="0.25">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x14ac:dyDescent="0.25">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x14ac:dyDescent="0.25">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x14ac:dyDescent="0.25">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x14ac:dyDescent="0.25">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x14ac:dyDescent="0.25">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x14ac:dyDescent="0.25">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x14ac:dyDescent="0.25">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x14ac:dyDescent="0.25">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x14ac:dyDescent="0.25">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x14ac:dyDescent="0.25">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x14ac:dyDescent="0.25">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x14ac:dyDescent="0.25">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x14ac:dyDescent="0.25">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x14ac:dyDescent="0.25">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x14ac:dyDescent="0.25">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x14ac:dyDescent="0.25">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x14ac:dyDescent="0.25">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x14ac:dyDescent="0.25">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x14ac:dyDescent="0.25">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x14ac:dyDescent="0.25">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x14ac:dyDescent="0.25">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F6525-C0B0-420D-8DB3-D96D1AFDB6E8}">
  <dimension ref="A2:Z22"/>
  <sheetViews>
    <sheetView zoomScale="61" workbookViewId="0">
      <selection activeCell="G30" sqref="G30"/>
    </sheetView>
  </sheetViews>
  <sheetFormatPr defaultRowHeight="15" x14ac:dyDescent="0.25"/>
  <cols>
    <col min="1" max="1" width="13.42578125" bestFit="1" customWidth="1"/>
    <col min="2" max="2" width="32.140625" customWidth="1"/>
    <col min="3" max="3" width="4.42578125" customWidth="1"/>
    <col min="4" max="4" width="3.28515625" customWidth="1"/>
    <col min="5" max="5" width="13.42578125" bestFit="1" customWidth="1"/>
    <col min="6" max="6" width="13.28515625" bestFit="1" customWidth="1"/>
    <col min="7" max="7" width="19" bestFit="1" customWidth="1"/>
    <col min="9" max="9" width="18.5703125" bestFit="1" customWidth="1"/>
    <col min="10" max="10" width="31.85546875" customWidth="1"/>
    <col min="11" max="11" width="9.5703125" customWidth="1"/>
    <col min="12" max="12" width="11.28515625" bestFit="1" customWidth="1"/>
    <col min="14" max="14" width="13.42578125" bestFit="1" customWidth="1"/>
    <col min="15" max="15" width="23.5703125" customWidth="1"/>
    <col min="19" max="19" width="15.28515625" bestFit="1" customWidth="1"/>
    <col min="20" max="20" width="24.7109375" customWidth="1"/>
    <col min="22" max="22" width="13.42578125" bestFit="1" customWidth="1"/>
    <col min="23" max="23" width="24.85546875" customWidth="1"/>
    <col min="25" max="25" width="13.42578125" bestFit="1" customWidth="1"/>
    <col min="26" max="26" width="38.28515625" customWidth="1"/>
  </cols>
  <sheetData>
    <row r="2" spans="1:26" ht="21" x14ac:dyDescent="0.35">
      <c r="A2" s="8" t="s">
        <v>217</v>
      </c>
      <c r="B2" s="8"/>
      <c r="E2" s="8" t="s">
        <v>221</v>
      </c>
      <c r="F2" s="8"/>
      <c r="G2" s="17"/>
      <c r="J2" s="12" t="s">
        <v>223</v>
      </c>
      <c r="N2" s="13" t="s">
        <v>225</v>
      </c>
      <c r="S2" s="13" t="s">
        <v>227</v>
      </c>
      <c r="V2" s="13" t="s">
        <v>5</v>
      </c>
    </row>
    <row r="3" spans="1:26" x14ac:dyDescent="0.25">
      <c r="A3" s="6" t="s">
        <v>214</v>
      </c>
      <c r="B3" t="s">
        <v>216</v>
      </c>
      <c r="E3" s="6" t="s">
        <v>214</v>
      </c>
      <c r="F3" t="s">
        <v>219</v>
      </c>
      <c r="G3" t="s">
        <v>228</v>
      </c>
      <c r="I3" s="6" t="s">
        <v>216</v>
      </c>
      <c r="J3" s="6" t="s">
        <v>222</v>
      </c>
    </row>
    <row r="4" spans="1:26" x14ac:dyDescent="0.25">
      <c r="A4" s="7" t="s">
        <v>63</v>
      </c>
      <c r="B4" s="22">
        <v>17</v>
      </c>
      <c r="E4" s="7" t="s">
        <v>121</v>
      </c>
      <c r="F4" s="20">
        <v>167041</v>
      </c>
      <c r="G4" s="9">
        <v>28</v>
      </c>
      <c r="I4" s="6" t="s">
        <v>214</v>
      </c>
      <c r="J4" t="s">
        <v>22</v>
      </c>
      <c r="K4" t="s">
        <v>37</v>
      </c>
      <c r="L4" t="s">
        <v>215</v>
      </c>
      <c r="N4" s="6" t="s">
        <v>214</v>
      </c>
      <c r="O4" t="s">
        <v>216</v>
      </c>
      <c r="S4" s="6" t="s">
        <v>214</v>
      </c>
      <c r="T4" t="s">
        <v>216</v>
      </c>
      <c r="V4" s="6" t="s">
        <v>214</v>
      </c>
      <c r="W4" t="s">
        <v>216</v>
      </c>
      <c r="Y4" s="6" t="s">
        <v>214</v>
      </c>
      <c r="Z4" t="s">
        <v>229</v>
      </c>
    </row>
    <row r="5" spans="1:26" x14ac:dyDescent="0.25">
      <c r="A5" s="7" t="s">
        <v>29</v>
      </c>
      <c r="B5" s="22">
        <v>20</v>
      </c>
      <c r="E5" s="7" t="s">
        <v>40</v>
      </c>
      <c r="F5" s="20">
        <v>613842</v>
      </c>
      <c r="G5" s="9">
        <v>110</v>
      </c>
      <c r="I5" s="7" t="s">
        <v>23</v>
      </c>
      <c r="J5" s="22">
        <v>6</v>
      </c>
      <c r="K5" s="22">
        <v>3</v>
      </c>
      <c r="L5" s="22">
        <v>9</v>
      </c>
      <c r="N5" s="7" t="s">
        <v>44</v>
      </c>
      <c r="O5" s="22">
        <v>23</v>
      </c>
      <c r="S5" s="7" t="s">
        <v>75</v>
      </c>
      <c r="T5" s="22">
        <v>12</v>
      </c>
      <c r="V5" s="7" t="s">
        <v>39</v>
      </c>
      <c r="W5" s="22">
        <v>14</v>
      </c>
      <c r="Y5" s="7" t="s">
        <v>26</v>
      </c>
      <c r="Z5" s="18">
        <v>2.5833333333333335</v>
      </c>
    </row>
    <row r="6" spans="1:26" x14ac:dyDescent="0.25">
      <c r="A6" s="7" t="s">
        <v>111</v>
      </c>
      <c r="B6" s="22">
        <v>13</v>
      </c>
      <c r="E6" s="7" t="s">
        <v>72</v>
      </c>
      <c r="F6" s="20">
        <v>633594</v>
      </c>
      <c r="G6" s="9">
        <v>104</v>
      </c>
      <c r="I6" s="7" t="s">
        <v>38</v>
      </c>
      <c r="J6" s="22">
        <v>7</v>
      </c>
      <c r="K6" s="22">
        <v>6</v>
      </c>
      <c r="L6" s="22">
        <v>13</v>
      </c>
      <c r="N6" s="7" t="s">
        <v>30</v>
      </c>
      <c r="O6" s="22">
        <v>8</v>
      </c>
      <c r="S6" s="7" t="s">
        <v>34</v>
      </c>
      <c r="T6" s="22">
        <v>11</v>
      </c>
      <c r="V6" s="7" t="s">
        <v>24</v>
      </c>
      <c r="W6" s="22">
        <v>10</v>
      </c>
      <c r="Y6" s="7" t="s">
        <v>41</v>
      </c>
      <c r="Z6" s="18">
        <v>3.3</v>
      </c>
    </row>
    <row r="7" spans="1:26" x14ac:dyDescent="0.25">
      <c r="A7" s="7" t="s">
        <v>215</v>
      </c>
      <c r="B7" s="22">
        <v>50</v>
      </c>
      <c r="E7" s="7" t="s">
        <v>50</v>
      </c>
      <c r="F7" s="20">
        <v>959266</v>
      </c>
      <c r="G7" s="9">
        <v>123</v>
      </c>
      <c r="I7" s="7" t="s">
        <v>59</v>
      </c>
      <c r="J7" s="22">
        <v>5</v>
      </c>
      <c r="K7" s="22">
        <v>7</v>
      </c>
      <c r="L7" s="22">
        <v>12</v>
      </c>
      <c r="N7" s="7" t="s">
        <v>54</v>
      </c>
      <c r="O7" s="22">
        <v>19</v>
      </c>
      <c r="S7" s="7" t="s">
        <v>96</v>
      </c>
      <c r="T7" s="22">
        <v>7</v>
      </c>
      <c r="V7" s="7" t="s">
        <v>102</v>
      </c>
      <c r="W7" s="22">
        <v>7</v>
      </c>
      <c r="Y7" s="7" t="s">
        <v>81</v>
      </c>
      <c r="Z7" s="18">
        <v>2.25</v>
      </c>
    </row>
    <row r="8" spans="1:26" x14ac:dyDescent="0.25">
      <c r="E8" s="7" t="s">
        <v>25</v>
      </c>
      <c r="F8" s="19">
        <v>731170</v>
      </c>
      <c r="G8" s="9">
        <v>122</v>
      </c>
      <c r="I8" s="7" t="s">
        <v>98</v>
      </c>
      <c r="J8" s="22">
        <v>4</v>
      </c>
      <c r="K8" s="22">
        <v>3</v>
      </c>
      <c r="L8" s="22">
        <v>7</v>
      </c>
      <c r="N8" s="7" t="s">
        <v>215</v>
      </c>
      <c r="O8" s="22">
        <v>50</v>
      </c>
      <c r="S8" s="7" t="s">
        <v>56</v>
      </c>
      <c r="T8" s="22">
        <v>11</v>
      </c>
      <c r="V8" s="7" t="s">
        <v>80</v>
      </c>
      <c r="W8" s="22">
        <v>10</v>
      </c>
      <c r="Y8" s="7" t="s">
        <v>51</v>
      </c>
      <c r="Z8" s="18">
        <v>2.3636363636363638</v>
      </c>
    </row>
    <row r="9" spans="1:26" x14ac:dyDescent="0.25">
      <c r="A9" s="7" t="s">
        <v>63</v>
      </c>
      <c r="B9">
        <f>IFERROR(GETPIVOTDATA("Full Name",$A$3,"Employment Status","Contract"),"0")</f>
        <v>17</v>
      </c>
      <c r="E9" s="7" t="s">
        <v>215</v>
      </c>
      <c r="F9" s="19">
        <v>3104913</v>
      </c>
      <c r="G9" s="22">
        <v>487</v>
      </c>
      <c r="I9" s="7" t="s">
        <v>68</v>
      </c>
      <c r="J9" s="22">
        <v>4</v>
      </c>
      <c r="K9" s="22">
        <v>5</v>
      </c>
      <c r="L9" s="22">
        <v>9</v>
      </c>
      <c r="S9" s="7" t="s">
        <v>66</v>
      </c>
      <c r="T9" s="22">
        <v>9</v>
      </c>
      <c r="V9" s="7" t="s">
        <v>49</v>
      </c>
      <c r="W9" s="22">
        <v>9</v>
      </c>
      <c r="Y9" s="7" t="s">
        <v>60</v>
      </c>
      <c r="Z9" s="18">
        <v>2.5555555555555554</v>
      </c>
    </row>
    <row r="10" spans="1:26" x14ac:dyDescent="0.25">
      <c r="A10" s="7" t="s">
        <v>29</v>
      </c>
      <c r="B10">
        <f>IFERROR(GETPIVOTDATA("Full Name",$A$3,"Employment Status","Full-Time"),"0")</f>
        <v>20</v>
      </c>
      <c r="I10" s="7" t="s">
        <v>215</v>
      </c>
      <c r="J10" s="22">
        <v>26</v>
      </c>
      <c r="K10" s="22">
        <v>24</v>
      </c>
      <c r="L10" s="22">
        <v>50</v>
      </c>
      <c r="N10" s="7" t="s">
        <v>44</v>
      </c>
      <c r="O10">
        <f>IFERROR(GETPIVOTDATA("Full Name",$N$4,"Work Location","Branch Office"),"0")</f>
        <v>23</v>
      </c>
      <c r="P10" s="11">
        <f>SUM(O10)/SUM($O$10:$O$12)</f>
        <v>0.46</v>
      </c>
      <c r="Q10" s="14">
        <f>1-P10</f>
        <v>0.54</v>
      </c>
      <c r="S10" s="7" t="s">
        <v>215</v>
      </c>
      <c r="T10" s="22">
        <v>50</v>
      </c>
      <c r="V10" s="7" t="s">
        <v>215</v>
      </c>
      <c r="W10" s="22">
        <v>50</v>
      </c>
      <c r="Y10" s="7" t="s">
        <v>215</v>
      </c>
      <c r="Z10" s="18">
        <v>2.62</v>
      </c>
    </row>
    <row r="11" spans="1:26" x14ac:dyDescent="0.25">
      <c r="A11" s="7" t="s">
        <v>111</v>
      </c>
      <c r="B11">
        <f>IFERROR(GETPIVOTDATA("Full Name",$A$3,"Employment Status","Part-Time"),"0")</f>
        <v>13</v>
      </c>
      <c r="E11" s="7" t="s">
        <v>121</v>
      </c>
      <c r="F11" s="21">
        <f>IFERROR(GETPIVOTDATA("Salary",$E$3,"Job Title","Analyst"),"0")</f>
        <v>167041</v>
      </c>
      <c r="G11" s="10">
        <f>IFERROR(GETPIVOTDATA("Sum of Leave Taken",$E$3,"Job Title","Analyst"),"0")</f>
        <v>28</v>
      </c>
      <c r="N11" s="7" t="s">
        <v>30</v>
      </c>
      <c r="O11">
        <f>IFERROR(GETPIVOTDATA("Full Name",$N$4,"Work Location","Head Office"),"0")</f>
        <v>8</v>
      </c>
      <c r="P11" s="11">
        <f t="shared" ref="P11:P12" si="0">SUM(O11)/SUM($O$10:$O$12)</f>
        <v>0.16</v>
      </c>
      <c r="Q11" s="14">
        <f t="shared" ref="Q11:Q12" si="1">1-P11</f>
        <v>0.84</v>
      </c>
    </row>
    <row r="12" spans="1:26" x14ac:dyDescent="0.25">
      <c r="A12" s="7" t="s">
        <v>218</v>
      </c>
      <c r="B12">
        <f>SUM(B9:B11)</f>
        <v>50</v>
      </c>
      <c r="E12" s="7" t="s">
        <v>40</v>
      </c>
      <c r="F12" s="21">
        <f>IFERROR(GETPIVOTDATA("Salary",$E$3,"Job Title","Designer"),"0")</f>
        <v>613842</v>
      </c>
      <c r="G12" s="10">
        <f>IFERROR(GETPIVOTDATA("Sum of Leave Taken",$E$3,"Job Title","Designer"),"0")</f>
        <v>110</v>
      </c>
      <c r="I12" s="7" t="s">
        <v>23</v>
      </c>
      <c r="J12">
        <f>IFERROR(GETPIVOTDATA("Full Name",$I$3,"Age range","18-25"),"0")</f>
        <v>9</v>
      </c>
      <c r="N12" s="7" t="s">
        <v>54</v>
      </c>
      <c r="O12">
        <f>IFERROR(GETPIVOTDATA("Full Name",$N$4,"Work Location","Remote"),"0")</f>
        <v>19</v>
      </c>
      <c r="P12" s="11">
        <f t="shared" si="0"/>
        <v>0.38</v>
      </c>
      <c r="Q12" s="14">
        <f t="shared" si="1"/>
        <v>0.62</v>
      </c>
      <c r="S12" s="7" t="s">
        <v>75</v>
      </c>
      <c r="T12">
        <f>IFERROR(GETPIVOTDATA("Full Name",$S$4,"Skills","Communication"),"0")</f>
        <v>12</v>
      </c>
      <c r="V12" s="7" t="s">
        <v>39</v>
      </c>
      <c r="W12">
        <f>IFERROR(GETPIVOTDATA("Full Name",$V$4,"Region","Central"),"0")</f>
        <v>14</v>
      </c>
      <c r="Y12" s="7" t="s">
        <v>26</v>
      </c>
      <c r="Z12" s="18">
        <f>IFERROR(GETPIVOTDATA("Performance Rating",$Y$4,"Department","Finance"),"0")</f>
        <v>2.5833333333333335</v>
      </c>
    </row>
    <row r="13" spans="1:26" x14ac:dyDescent="0.25">
      <c r="E13" s="7" t="s">
        <v>72</v>
      </c>
      <c r="F13" s="21">
        <f>IFERROR(GETPIVOTDATA("Salary",$E$3,"Job Title","Developer"),"0")</f>
        <v>633594</v>
      </c>
      <c r="G13" s="10">
        <f>IFERROR(GETPIVOTDATA("Sum of Leave Taken",$E$3,"Job Title","Developer"),"0")</f>
        <v>104</v>
      </c>
      <c r="I13" s="7" t="s">
        <v>38</v>
      </c>
      <c r="J13">
        <f>IFERROR(GETPIVOTDATA("Full Name",$I$3,"Age range","26-35"),"0")</f>
        <v>13</v>
      </c>
      <c r="N13" s="7" t="s">
        <v>220</v>
      </c>
      <c r="O13">
        <f>SUM(O10:O12)</f>
        <v>50</v>
      </c>
      <c r="S13" s="7" t="s">
        <v>34</v>
      </c>
      <c r="T13">
        <f>IFERROR(GETPIVOTDATA("Full Name",$S$4,"Skills","Design"),"0")</f>
        <v>11</v>
      </c>
      <c r="V13" s="7" t="s">
        <v>24</v>
      </c>
      <c r="W13">
        <f>IFERROR(GETPIVOTDATA("Full Name",$V$4,"Region","East"),"0")</f>
        <v>10</v>
      </c>
      <c r="Y13" s="7" t="s">
        <v>41</v>
      </c>
      <c r="Z13" s="18">
        <f>IFERROR(GETPIVOTDATA("Performance Rating",$Y$4,"Department","HR"),"0")</f>
        <v>3.3</v>
      </c>
    </row>
    <row r="14" spans="1:26" x14ac:dyDescent="0.25">
      <c r="E14" s="7" t="s">
        <v>50</v>
      </c>
      <c r="F14" s="21">
        <f>IFERROR(GETPIVOTDATA("Salary",$E$3,"Job Title","HR Specialist"),"0")</f>
        <v>959266</v>
      </c>
      <c r="G14" s="10">
        <f>IFERROR(GETPIVOTDATA("Sum of Leave Taken",$E$3,"Job Title","HR Specialist"),"0")</f>
        <v>123</v>
      </c>
      <c r="I14" s="7" t="s">
        <v>59</v>
      </c>
      <c r="J14">
        <f>IFERROR(GETPIVOTDATA("Full Name",$I$3,"Age range","36-45"),"0")</f>
        <v>12</v>
      </c>
      <c r="S14" s="7" t="s">
        <v>96</v>
      </c>
      <c r="T14">
        <f>IFERROR(GETPIVOTDATA("Full Name",$S$4,"Skills","Excel"),"0")</f>
        <v>7</v>
      </c>
      <c r="V14" s="7" t="s">
        <v>102</v>
      </c>
      <c r="W14">
        <f>IFERROR(GETPIVOTDATA("Full Name",$V$4,"Region","North"),"0")</f>
        <v>7</v>
      </c>
      <c r="Y14" s="7" t="s">
        <v>81</v>
      </c>
      <c r="Z14" s="18">
        <f>IFERROR(GETPIVOTDATA("Performance Rating",$Y$4,"Department","IT"),"0")</f>
        <v>2.25</v>
      </c>
    </row>
    <row r="15" spans="1:26" x14ac:dyDescent="0.25">
      <c r="E15" s="7" t="s">
        <v>25</v>
      </c>
      <c r="F15" s="21">
        <f>IFERROR(GETPIVOTDATA("Salary",$E$3,"Job Title","Manager"),"0")</f>
        <v>731170</v>
      </c>
      <c r="G15" s="10">
        <f>IFERROR(GETPIVOTDATA("Sum of Leave Taken",$E$3,"Job Title","Manager"),"0")</f>
        <v>122</v>
      </c>
      <c r="I15" s="7" t="s">
        <v>98</v>
      </c>
      <c r="J15">
        <f>IFERROR(GETPIVOTDATA("Full Name",$I$3,"Age range","46-55"),"0")</f>
        <v>7</v>
      </c>
      <c r="S15" s="7" t="s">
        <v>56</v>
      </c>
      <c r="T15">
        <f>IFERROR(GETPIVOTDATA("Full Name",$S$4,"Skills","Management"),"0")</f>
        <v>11</v>
      </c>
      <c r="V15" s="7" t="s">
        <v>80</v>
      </c>
      <c r="W15">
        <f>IFERROR(GETPIVOTDATA("Full Name",$V$4,"Region","South"),"0")</f>
        <v>10</v>
      </c>
      <c r="Y15" s="7" t="s">
        <v>51</v>
      </c>
      <c r="Z15" s="18">
        <f>IFERROR(GETPIVOTDATA("Performance Rating",$Y$4,"Department","Marketing"),"0")</f>
        <v>2.3636363636363638</v>
      </c>
    </row>
    <row r="16" spans="1:26" x14ac:dyDescent="0.25">
      <c r="E16" s="7" t="s">
        <v>220</v>
      </c>
      <c r="F16" s="21">
        <f>SUM(F11:F15)</f>
        <v>3104913</v>
      </c>
      <c r="G16" s="10">
        <f>SUM(G11:G15)</f>
        <v>487</v>
      </c>
      <c r="I16" s="7" t="s">
        <v>68</v>
      </c>
      <c r="J16">
        <f>IFERROR(GETPIVOTDATA("Full Name",$I$3,"Age range","56 &lt;"),"0")</f>
        <v>9</v>
      </c>
      <c r="S16" s="7" t="s">
        <v>66</v>
      </c>
      <c r="T16">
        <f>IFERROR(GETPIVOTDATA("Full Name",$S$4,"Skills","Python"),"0")</f>
        <v>9</v>
      </c>
      <c r="V16" s="7" t="s">
        <v>49</v>
      </c>
      <c r="W16">
        <f>IFERROR(GETPIVOTDATA("Full Name",$V$4,"Region","West"),"0")</f>
        <v>9</v>
      </c>
      <c r="Y16" s="7" t="s">
        <v>60</v>
      </c>
      <c r="Z16" s="18">
        <f>IFERROR(GETPIVOTDATA("Performance Rating",$Y$4,"Department","Operations"),"0")</f>
        <v>2.5555555555555554</v>
      </c>
    </row>
    <row r="17" spans="9:26" x14ac:dyDescent="0.25">
      <c r="I17" s="7" t="s">
        <v>218</v>
      </c>
      <c r="J17">
        <f>SUM(J12:J16)</f>
        <v>50</v>
      </c>
      <c r="S17" s="7" t="s">
        <v>220</v>
      </c>
      <c r="T17">
        <f>SUM(T12:T16)</f>
        <v>50</v>
      </c>
      <c r="V17" s="7" t="s">
        <v>218</v>
      </c>
      <c r="W17">
        <f>SUM(W12:W16)</f>
        <v>50</v>
      </c>
      <c r="Y17" s="7" t="s">
        <v>220</v>
      </c>
      <c r="Z17" s="15">
        <f>AVERAGE(Z12:Z16)</f>
        <v>2.6105050505050502</v>
      </c>
    </row>
    <row r="20" spans="9:26" x14ac:dyDescent="0.25">
      <c r="I20" s="7" t="s">
        <v>224</v>
      </c>
      <c r="J20">
        <f>IFERROR(GETPIVOTDATA("Full Name",$I$3,"Gender","Male"),"0")</f>
        <v>24</v>
      </c>
      <c r="K20" s="11">
        <f t="shared" ref="K20:K21" si="2">SUM(J20)/SUM($J$20:$J$21)</f>
        <v>0.48</v>
      </c>
      <c r="L20" s="14">
        <f>1-K20</f>
        <v>0.52</v>
      </c>
    </row>
    <row r="21" spans="9:26" x14ac:dyDescent="0.25">
      <c r="I21" s="7" t="s">
        <v>22</v>
      </c>
      <c r="J21">
        <f>IFERROR(GETPIVOTDATA("Full Name",$I$3,"Gender","Female"),"0")</f>
        <v>26</v>
      </c>
      <c r="K21" s="11">
        <f t="shared" si="2"/>
        <v>0.52</v>
      </c>
      <c r="L21" s="14">
        <f>1-K21</f>
        <v>0.48</v>
      </c>
    </row>
    <row r="22" spans="9:26" x14ac:dyDescent="0.25">
      <c r="I22" s="7" t="s">
        <v>220</v>
      </c>
      <c r="J22" s="16">
        <f>SUM(J20:J21)</f>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7A7E8-99D5-4B4C-B39A-891ED12DF10A}">
  <dimension ref="B7:U17"/>
  <sheetViews>
    <sheetView showGridLines="0" tabSelected="1" topLeftCell="F8" zoomScale="78" zoomScaleNormal="53" workbookViewId="0">
      <selection activeCell="AE28" sqref="AE28"/>
    </sheetView>
  </sheetViews>
  <sheetFormatPr defaultRowHeight="15" x14ac:dyDescent="0.25"/>
  <cols>
    <col min="1" max="16384" width="9.140625" style="4"/>
  </cols>
  <sheetData>
    <row r="7" spans="2:4" x14ac:dyDescent="0.25">
      <c r="B7" s="5"/>
      <c r="D7" s="5"/>
    </row>
    <row r="17" spans="21:21" x14ac:dyDescent="0.25">
      <c r="U17" s="4" t="s">
        <v>226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anshuman mishra</cp:lastModifiedBy>
  <dcterms:created xsi:type="dcterms:W3CDTF">2024-12-11T17:14:33Z</dcterms:created>
  <dcterms:modified xsi:type="dcterms:W3CDTF">2025-07-24T14:46:07Z</dcterms:modified>
</cp:coreProperties>
</file>